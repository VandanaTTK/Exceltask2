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a64776115df530a2/Desktop/"/>
    </mc:Choice>
  </mc:AlternateContent>
  <xr:revisionPtr revIDLastSave="1173" documentId="8_{58DCD8A6-0591-490B-B2CE-CD6A72CAD039}" xr6:coauthVersionLast="47" xr6:coauthVersionMax="47" xr10:uidLastSave="{EABCBA0D-78C2-47A8-AB9D-8407D4A7D551}"/>
  <bookViews>
    <workbookView xWindow="-120" yWindow="-120" windowWidth="29040" windowHeight="15720" activeTab="6" xr2:uid="{00000000-000D-0000-FFFF-FFFF00000000}"/>
  </bookViews>
  <sheets>
    <sheet name="Pivot" sheetId="10" r:id="rId1"/>
    <sheet name="T34" sheetId="11" r:id="rId2"/>
    <sheet name="Transactions" sheetId="1" r:id="rId3"/>
    <sheet name="filter" sheetId="13" r:id="rId4"/>
    <sheet name="sort" sheetId="9" r:id="rId5"/>
    <sheet name="Answers" sheetId="4" r:id="rId6"/>
    <sheet name="Dashboard" sheetId="12" r:id="rId7"/>
    <sheet name="Lookup_table" sheetId="6" r:id="rId8"/>
  </sheets>
  <definedNames>
    <definedName name="_xlnm._FilterDatabase" localSheetId="2" hidden="1">Transactions!$A$1:$M$77</definedName>
    <definedName name="_xlcn.WorksheetConnection_Financial_Transactions_Assignment2.xlsxTable11" hidden="1">Table1[]</definedName>
    <definedName name="Slicer_Category">#N/A</definedName>
    <definedName name="Slicer_Sales_Channel">#N/A</definedName>
    <definedName name="Slicer_Status">#N/A</definedName>
    <definedName name="Slicer_T212">#N/A</definedName>
  </definedNames>
  <calcPr calcId="191029"/>
  <pivotCaches>
    <pivotCache cacheId="704" r:id="rId9"/>
    <pivotCache cacheId="707" r:id="rId10"/>
    <pivotCache cacheId="710"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ial_Transactions_Assignment2.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 i="10" l="1"/>
  <c r="P79" i="1"/>
  <c r="H79" i="1"/>
  <c r="Q25" i="1"/>
  <c r="X2" i="1"/>
  <c r="A48" i="10"/>
  <c r="AB77" i="13"/>
  <c r="AA77" i="13"/>
  <c r="Z77" i="13"/>
  <c r="Y77" i="13"/>
  <c r="X77" i="13"/>
  <c r="W77" i="13"/>
  <c r="U77" i="13"/>
  <c r="T77" i="13"/>
  <c r="R77" i="13"/>
  <c r="Q77" i="13"/>
  <c r="N77" i="13"/>
  <c r="O77" i="13" s="1"/>
  <c r="P77" i="13" s="1"/>
  <c r="AB76" i="13"/>
  <c r="AA76" i="13"/>
  <c r="Z76" i="13"/>
  <c r="Y76" i="13"/>
  <c r="X76" i="13"/>
  <c r="W76" i="13"/>
  <c r="U76" i="13"/>
  <c r="T76" i="13"/>
  <c r="R76" i="13"/>
  <c r="Q76" i="13"/>
  <c r="N76" i="13"/>
  <c r="O76" i="13" s="1"/>
  <c r="P76" i="13" s="1"/>
  <c r="AB75" i="13"/>
  <c r="AA75" i="13"/>
  <c r="Z75" i="13"/>
  <c r="Y75" i="13"/>
  <c r="X75" i="13"/>
  <c r="W75" i="13"/>
  <c r="U75" i="13"/>
  <c r="T75" i="13"/>
  <c r="R75" i="13"/>
  <c r="Q75" i="13"/>
  <c r="N75" i="13"/>
  <c r="AB74" i="13"/>
  <c r="AA74" i="13"/>
  <c r="Z74" i="13"/>
  <c r="Y74" i="13"/>
  <c r="X74" i="13"/>
  <c r="W74" i="13"/>
  <c r="U74" i="13"/>
  <c r="T74" i="13"/>
  <c r="R74" i="13"/>
  <c r="Q74" i="13"/>
  <c r="N74" i="13"/>
  <c r="AB73" i="13"/>
  <c r="AA73" i="13"/>
  <c r="Z73" i="13"/>
  <c r="Y73" i="13"/>
  <c r="X73" i="13"/>
  <c r="W73" i="13"/>
  <c r="U73" i="13"/>
  <c r="T73" i="13"/>
  <c r="R73" i="13"/>
  <c r="Q73" i="13"/>
  <c r="N73" i="13"/>
  <c r="O73" i="13" s="1"/>
  <c r="AB72" i="13"/>
  <c r="AA72" i="13"/>
  <c r="Z72" i="13"/>
  <c r="Y72" i="13"/>
  <c r="X72" i="13"/>
  <c r="W72" i="13"/>
  <c r="U72" i="13"/>
  <c r="T72" i="13"/>
  <c r="R72" i="13"/>
  <c r="Q72" i="13"/>
  <c r="O72" i="13"/>
  <c r="P72" i="13" s="1"/>
  <c r="V72" i="13" s="1"/>
  <c r="N72" i="13"/>
  <c r="AB71" i="13"/>
  <c r="AA71" i="13"/>
  <c r="Z71" i="13"/>
  <c r="Y71" i="13"/>
  <c r="X71" i="13"/>
  <c r="W71" i="13"/>
  <c r="U71" i="13"/>
  <c r="T71" i="13"/>
  <c r="R71" i="13"/>
  <c r="Q71" i="13"/>
  <c r="N71" i="13"/>
  <c r="AB70" i="13"/>
  <c r="AA70" i="13"/>
  <c r="Z70" i="13"/>
  <c r="Y70" i="13"/>
  <c r="X70" i="13"/>
  <c r="W70" i="13"/>
  <c r="U70" i="13"/>
  <c r="T70" i="13"/>
  <c r="R70" i="13"/>
  <c r="Q70" i="13"/>
  <c r="N70" i="13"/>
  <c r="AB69" i="13"/>
  <c r="AA69" i="13"/>
  <c r="Z69" i="13"/>
  <c r="Y69" i="13"/>
  <c r="X69" i="13"/>
  <c r="W69" i="13"/>
  <c r="U69" i="13"/>
  <c r="T69" i="13"/>
  <c r="R69" i="13"/>
  <c r="Q69" i="13"/>
  <c r="P69" i="13"/>
  <c r="N69" i="13"/>
  <c r="O69" i="13" s="1"/>
  <c r="AB68" i="13"/>
  <c r="AA68" i="13"/>
  <c r="Z68" i="13"/>
  <c r="Y68" i="13"/>
  <c r="X68" i="13"/>
  <c r="W68" i="13"/>
  <c r="U68" i="13"/>
  <c r="T68" i="13"/>
  <c r="R68" i="13"/>
  <c r="Q68" i="13"/>
  <c r="N68" i="13"/>
  <c r="O68" i="13" s="1"/>
  <c r="P68" i="13" s="1"/>
  <c r="AB67" i="13"/>
  <c r="AA67" i="13"/>
  <c r="Z67" i="13"/>
  <c r="Y67" i="13"/>
  <c r="X67" i="13"/>
  <c r="W67" i="13"/>
  <c r="U67" i="13"/>
  <c r="T67" i="13"/>
  <c r="R67" i="13"/>
  <c r="Q67" i="13"/>
  <c r="N67" i="13"/>
  <c r="O67" i="13" s="1"/>
  <c r="AB66" i="13"/>
  <c r="AA66" i="13"/>
  <c r="Z66" i="13"/>
  <c r="Y66" i="13"/>
  <c r="X66" i="13"/>
  <c r="W66" i="13"/>
  <c r="U66" i="13"/>
  <c r="T66" i="13"/>
  <c r="R66" i="13"/>
  <c r="Q66" i="13"/>
  <c r="N66" i="13"/>
  <c r="AB65" i="13"/>
  <c r="AA65" i="13"/>
  <c r="Z65" i="13"/>
  <c r="Y65" i="13"/>
  <c r="X65" i="13"/>
  <c r="W65" i="13"/>
  <c r="U65" i="13"/>
  <c r="T65" i="13"/>
  <c r="R65" i="13"/>
  <c r="Q65" i="13"/>
  <c r="N65" i="13"/>
  <c r="O65" i="13" s="1"/>
  <c r="AB64" i="13"/>
  <c r="AA64" i="13"/>
  <c r="Z64" i="13"/>
  <c r="Y64" i="13"/>
  <c r="X64" i="13"/>
  <c r="W64" i="13"/>
  <c r="U64" i="13"/>
  <c r="T64" i="13"/>
  <c r="R64" i="13"/>
  <c r="Q64" i="13"/>
  <c r="N64" i="13"/>
  <c r="O64" i="13" s="1"/>
  <c r="P64" i="13" s="1"/>
  <c r="AB63" i="13"/>
  <c r="AA63" i="13"/>
  <c r="Z63" i="13"/>
  <c r="Y63" i="13"/>
  <c r="X63" i="13"/>
  <c r="W63" i="13"/>
  <c r="U63" i="13"/>
  <c r="T63" i="13"/>
  <c r="R63" i="13"/>
  <c r="Q63" i="13"/>
  <c r="N63" i="13"/>
  <c r="O63" i="13" s="1"/>
  <c r="AB62" i="13"/>
  <c r="AA62" i="13"/>
  <c r="Z62" i="13"/>
  <c r="Y62" i="13"/>
  <c r="X62" i="13"/>
  <c r="W62" i="13"/>
  <c r="U62" i="13"/>
  <c r="T62" i="13"/>
  <c r="R62" i="13"/>
  <c r="Q62" i="13"/>
  <c r="N62" i="13"/>
  <c r="AB61" i="13"/>
  <c r="AA61" i="13"/>
  <c r="Z61" i="13"/>
  <c r="Y61" i="13"/>
  <c r="X61" i="13"/>
  <c r="W61" i="13"/>
  <c r="U61" i="13"/>
  <c r="T61" i="13"/>
  <c r="R61" i="13"/>
  <c r="Q61" i="13"/>
  <c r="N61" i="13"/>
  <c r="O61" i="13" s="1"/>
  <c r="AB60" i="13"/>
  <c r="AA60" i="13"/>
  <c r="Z60" i="13"/>
  <c r="Y60" i="13"/>
  <c r="X60" i="13"/>
  <c r="W60" i="13"/>
  <c r="U60" i="13"/>
  <c r="T60" i="13"/>
  <c r="R60" i="13"/>
  <c r="Q60" i="13"/>
  <c r="N60" i="13"/>
  <c r="O60" i="13" s="1"/>
  <c r="P60" i="13" s="1"/>
  <c r="AB59" i="13"/>
  <c r="AA59" i="13"/>
  <c r="Z59" i="13"/>
  <c r="Y59" i="13"/>
  <c r="X59" i="13"/>
  <c r="W59" i="13"/>
  <c r="U59" i="13"/>
  <c r="T59" i="13"/>
  <c r="R59" i="13"/>
  <c r="Q59" i="13"/>
  <c r="N59" i="13"/>
  <c r="O59" i="13" s="1"/>
  <c r="AB58" i="13"/>
  <c r="AA58" i="13"/>
  <c r="Z58" i="13"/>
  <c r="Y58" i="13"/>
  <c r="X58" i="13"/>
  <c r="W58" i="13"/>
  <c r="U58" i="13"/>
  <c r="T58" i="13"/>
  <c r="R58" i="13"/>
  <c r="Q58" i="13"/>
  <c r="N58" i="13"/>
  <c r="AB57" i="13"/>
  <c r="AA57" i="13"/>
  <c r="Z57" i="13"/>
  <c r="Y57" i="13"/>
  <c r="X57" i="13"/>
  <c r="W57" i="13"/>
  <c r="U57" i="13"/>
  <c r="T57" i="13"/>
  <c r="R57" i="13"/>
  <c r="Q57" i="13"/>
  <c r="N57" i="13"/>
  <c r="O57" i="13" s="1"/>
  <c r="AB56" i="13"/>
  <c r="AA56" i="13"/>
  <c r="Z56" i="13"/>
  <c r="Y56" i="13"/>
  <c r="X56" i="13"/>
  <c r="W56" i="13"/>
  <c r="U56" i="13"/>
  <c r="T56" i="13"/>
  <c r="R56" i="13"/>
  <c r="Q56" i="13"/>
  <c r="N56" i="13"/>
  <c r="O56" i="13" s="1"/>
  <c r="P56" i="13" s="1"/>
  <c r="AB55" i="13"/>
  <c r="AA55" i="13"/>
  <c r="Z55" i="13"/>
  <c r="Y55" i="13"/>
  <c r="X55" i="13"/>
  <c r="W55" i="13"/>
  <c r="U55" i="13"/>
  <c r="T55" i="13"/>
  <c r="R55" i="13"/>
  <c r="Q55" i="13"/>
  <c r="N55" i="13"/>
  <c r="O55" i="13" s="1"/>
  <c r="AB54" i="13"/>
  <c r="AA54" i="13"/>
  <c r="Z54" i="13"/>
  <c r="Y54" i="13"/>
  <c r="X54" i="13"/>
  <c r="W54" i="13"/>
  <c r="U54" i="13"/>
  <c r="T54" i="13"/>
  <c r="R54" i="13"/>
  <c r="Q54" i="13"/>
  <c r="N54" i="13"/>
  <c r="AB53" i="13"/>
  <c r="AA53" i="13"/>
  <c r="Z53" i="13"/>
  <c r="Y53" i="13"/>
  <c r="X53" i="13"/>
  <c r="W53" i="13"/>
  <c r="U53" i="13"/>
  <c r="T53" i="13"/>
  <c r="R53" i="13"/>
  <c r="Q53" i="13"/>
  <c r="N53" i="13"/>
  <c r="O53" i="13" s="1"/>
  <c r="P53" i="13" s="1"/>
  <c r="AB52" i="13"/>
  <c r="AA52" i="13"/>
  <c r="Z52" i="13"/>
  <c r="Y52" i="13"/>
  <c r="X52" i="13"/>
  <c r="W52" i="13"/>
  <c r="U52" i="13"/>
  <c r="T52" i="13"/>
  <c r="R52" i="13"/>
  <c r="Q52" i="13"/>
  <c r="N52" i="13"/>
  <c r="O52" i="13" s="1"/>
  <c r="P52" i="13" s="1"/>
  <c r="AB51" i="13"/>
  <c r="AA51" i="13"/>
  <c r="Z51" i="13"/>
  <c r="Y51" i="13"/>
  <c r="X51" i="13"/>
  <c r="W51" i="13"/>
  <c r="U51" i="13"/>
  <c r="T51" i="13"/>
  <c r="R51" i="13"/>
  <c r="Q51" i="13"/>
  <c r="N51" i="13"/>
  <c r="O51" i="13" s="1"/>
  <c r="AB50" i="13"/>
  <c r="AA50" i="13"/>
  <c r="Z50" i="13"/>
  <c r="Y50" i="13"/>
  <c r="X50" i="13"/>
  <c r="W50" i="13"/>
  <c r="U50" i="13"/>
  <c r="T50" i="13"/>
  <c r="R50" i="13"/>
  <c r="Q50" i="13"/>
  <c r="N50" i="13"/>
  <c r="AB49" i="13"/>
  <c r="AA49" i="13"/>
  <c r="Z49" i="13"/>
  <c r="Y49" i="13"/>
  <c r="X49" i="13"/>
  <c r="W49" i="13"/>
  <c r="U49" i="13"/>
  <c r="T49" i="13"/>
  <c r="R49" i="13"/>
  <c r="Q49" i="13"/>
  <c r="N49" i="13"/>
  <c r="O49" i="13" s="1"/>
  <c r="P49" i="13" s="1"/>
  <c r="AB48" i="13"/>
  <c r="AA48" i="13"/>
  <c r="Z48" i="13"/>
  <c r="Y48" i="13"/>
  <c r="X48" i="13"/>
  <c r="W48" i="13"/>
  <c r="U48" i="13"/>
  <c r="T48" i="13"/>
  <c r="R48" i="13"/>
  <c r="Q48" i="13"/>
  <c r="N48" i="13"/>
  <c r="O48" i="13" s="1"/>
  <c r="P48" i="13" s="1"/>
  <c r="AB47" i="13"/>
  <c r="AA47" i="13"/>
  <c r="Z47" i="13"/>
  <c r="Y47" i="13"/>
  <c r="X47" i="13"/>
  <c r="W47" i="13"/>
  <c r="U47" i="13"/>
  <c r="T47" i="13"/>
  <c r="R47" i="13"/>
  <c r="Q47" i="13"/>
  <c r="N47" i="13"/>
  <c r="O47" i="13" s="1"/>
  <c r="AB46" i="13"/>
  <c r="AA46" i="13"/>
  <c r="Z46" i="13"/>
  <c r="Y46" i="13"/>
  <c r="X46" i="13"/>
  <c r="W46" i="13"/>
  <c r="U46" i="13"/>
  <c r="T46" i="13"/>
  <c r="R46" i="13"/>
  <c r="Q46" i="13"/>
  <c r="N46" i="13"/>
  <c r="AB45" i="13"/>
  <c r="AA45" i="13"/>
  <c r="Z45" i="13"/>
  <c r="Y45" i="13"/>
  <c r="X45" i="13"/>
  <c r="W45" i="13"/>
  <c r="U45" i="13"/>
  <c r="T45" i="13"/>
  <c r="R45" i="13"/>
  <c r="Q45" i="13"/>
  <c r="N45" i="13"/>
  <c r="O45" i="13" s="1"/>
  <c r="P45" i="13" s="1"/>
  <c r="AB44" i="13"/>
  <c r="AA44" i="13"/>
  <c r="Z44" i="13"/>
  <c r="Y44" i="13"/>
  <c r="X44" i="13"/>
  <c r="W44" i="13"/>
  <c r="U44" i="13"/>
  <c r="T44" i="13"/>
  <c r="R44" i="13"/>
  <c r="Q44" i="13"/>
  <c r="N44" i="13"/>
  <c r="O44" i="13" s="1"/>
  <c r="P44" i="13" s="1"/>
  <c r="V44" i="13" s="1"/>
  <c r="AB43" i="13"/>
  <c r="AA43" i="13"/>
  <c r="Z43" i="13"/>
  <c r="Y43" i="13"/>
  <c r="X43" i="13"/>
  <c r="W43" i="13"/>
  <c r="U43" i="13"/>
  <c r="T43" i="13"/>
  <c r="R43" i="13"/>
  <c r="Q43" i="13"/>
  <c r="N43" i="13"/>
  <c r="O43" i="13" s="1"/>
  <c r="AB42" i="13"/>
  <c r="AA42" i="13"/>
  <c r="Z42" i="13"/>
  <c r="Y42" i="13"/>
  <c r="X42" i="13"/>
  <c r="W42" i="13"/>
  <c r="U42" i="13"/>
  <c r="T42" i="13"/>
  <c r="R42" i="13"/>
  <c r="Q42" i="13"/>
  <c r="N42" i="13"/>
  <c r="AB41" i="13"/>
  <c r="AA41" i="13"/>
  <c r="Z41" i="13"/>
  <c r="Y41" i="13"/>
  <c r="X41" i="13"/>
  <c r="W41" i="13"/>
  <c r="U41" i="13"/>
  <c r="T41" i="13"/>
  <c r="R41" i="13"/>
  <c r="Q41" i="13"/>
  <c r="N41" i="13"/>
  <c r="O41" i="13" s="1"/>
  <c r="P41" i="13" s="1"/>
  <c r="AB40" i="13"/>
  <c r="AA40" i="13"/>
  <c r="Z40" i="13"/>
  <c r="Y40" i="13"/>
  <c r="X40" i="13"/>
  <c r="W40" i="13"/>
  <c r="U40" i="13"/>
  <c r="T40" i="13"/>
  <c r="R40" i="13"/>
  <c r="Q40" i="13"/>
  <c r="N40" i="13"/>
  <c r="AB39" i="13"/>
  <c r="AA39" i="13"/>
  <c r="Z39" i="13"/>
  <c r="Y39" i="13"/>
  <c r="X39" i="13"/>
  <c r="W39" i="13"/>
  <c r="U39" i="13"/>
  <c r="T39" i="13"/>
  <c r="R39" i="13"/>
  <c r="Q39" i="13"/>
  <c r="N39" i="13"/>
  <c r="O39" i="13" s="1"/>
  <c r="AB38" i="13"/>
  <c r="AA38" i="13"/>
  <c r="Z38" i="13"/>
  <c r="Y38" i="13"/>
  <c r="X38" i="13"/>
  <c r="W38" i="13"/>
  <c r="U38" i="13"/>
  <c r="T38" i="13"/>
  <c r="R38" i="13"/>
  <c r="Q38" i="13"/>
  <c r="N38" i="13"/>
  <c r="AB37" i="13"/>
  <c r="AA37" i="13"/>
  <c r="Z37" i="13"/>
  <c r="Y37" i="13"/>
  <c r="X37" i="13"/>
  <c r="W37" i="13"/>
  <c r="U37" i="13"/>
  <c r="T37" i="13"/>
  <c r="R37" i="13"/>
  <c r="Q37" i="13"/>
  <c r="N37" i="13"/>
  <c r="O37" i="13" s="1"/>
  <c r="P37" i="13" s="1"/>
  <c r="AB36" i="13"/>
  <c r="AA36" i="13"/>
  <c r="Z36" i="13"/>
  <c r="Y36" i="13"/>
  <c r="X36" i="13"/>
  <c r="W36" i="13"/>
  <c r="U36" i="13"/>
  <c r="T36" i="13"/>
  <c r="R36" i="13"/>
  <c r="Q36" i="13"/>
  <c r="O36" i="13"/>
  <c r="P36" i="13" s="1"/>
  <c r="V36" i="13" s="1"/>
  <c r="N36" i="13"/>
  <c r="AB35" i="13"/>
  <c r="AA35" i="13"/>
  <c r="Z35" i="13"/>
  <c r="Y35" i="13"/>
  <c r="X35" i="13"/>
  <c r="W35" i="13"/>
  <c r="U35" i="13"/>
  <c r="T35" i="13"/>
  <c r="R35" i="13"/>
  <c r="Q35" i="13"/>
  <c r="N35" i="13"/>
  <c r="O35" i="13" s="1"/>
  <c r="AB34" i="13"/>
  <c r="AA34" i="13"/>
  <c r="Z34" i="13"/>
  <c r="Y34" i="13"/>
  <c r="X34" i="13"/>
  <c r="W34" i="13"/>
  <c r="U34" i="13"/>
  <c r="T34" i="13"/>
  <c r="R34" i="13"/>
  <c r="Q34" i="13"/>
  <c r="N34" i="13"/>
  <c r="AB33" i="13"/>
  <c r="AA33" i="13"/>
  <c r="Z33" i="13"/>
  <c r="Y33" i="13"/>
  <c r="X33" i="13"/>
  <c r="W33" i="13"/>
  <c r="U33" i="13"/>
  <c r="T33" i="13"/>
  <c r="R33" i="13"/>
  <c r="Q33" i="13"/>
  <c r="O33" i="13"/>
  <c r="N33" i="13"/>
  <c r="AB32" i="13"/>
  <c r="AA32" i="13"/>
  <c r="Z32" i="13"/>
  <c r="Y32" i="13"/>
  <c r="X32" i="13"/>
  <c r="W32" i="13"/>
  <c r="U32" i="13"/>
  <c r="T32" i="13"/>
  <c r="R32" i="13"/>
  <c r="Q32" i="13"/>
  <c r="N32" i="13"/>
  <c r="AB31" i="13"/>
  <c r="AA31" i="13"/>
  <c r="Z31" i="13"/>
  <c r="Y31" i="13"/>
  <c r="X31" i="13"/>
  <c r="W31" i="13"/>
  <c r="U31" i="13"/>
  <c r="T31" i="13"/>
  <c r="R31" i="13"/>
  <c r="Q31" i="13"/>
  <c r="N31" i="13"/>
  <c r="O31" i="13" s="1"/>
  <c r="AB30" i="13"/>
  <c r="AA30" i="13"/>
  <c r="Z30" i="13"/>
  <c r="Y30" i="13"/>
  <c r="X30" i="13"/>
  <c r="W30" i="13"/>
  <c r="U30" i="13"/>
  <c r="T30" i="13"/>
  <c r="R30" i="13"/>
  <c r="Q30" i="13"/>
  <c r="N30" i="13"/>
  <c r="AB29" i="13"/>
  <c r="AA29" i="13"/>
  <c r="Z29" i="13"/>
  <c r="Y29" i="13"/>
  <c r="X29" i="13"/>
  <c r="W29" i="13"/>
  <c r="U29" i="13"/>
  <c r="T29" i="13"/>
  <c r="R29" i="13"/>
  <c r="Q29" i="13"/>
  <c r="N29" i="13"/>
  <c r="AB28" i="13"/>
  <c r="AA28" i="13"/>
  <c r="Z28" i="13"/>
  <c r="Y28" i="13"/>
  <c r="X28" i="13"/>
  <c r="W28" i="13"/>
  <c r="U28" i="13"/>
  <c r="T28" i="13"/>
  <c r="R28" i="13"/>
  <c r="Q28" i="13"/>
  <c r="N28" i="13"/>
  <c r="AB27" i="13"/>
  <c r="AA27" i="13"/>
  <c r="Z27" i="13"/>
  <c r="Y27" i="13"/>
  <c r="X27" i="13"/>
  <c r="W27" i="13"/>
  <c r="U27" i="13"/>
  <c r="T27" i="13"/>
  <c r="R27" i="13"/>
  <c r="Q27" i="13"/>
  <c r="N27" i="13"/>
  <c r="O27" i="13" s="1"/>
  <c r="AB26" i="13"/>
  <c r="AA26" i="13"/>
  <c r="Z26" i="13"/>
  <c r="Y26" i="13"/>
  <c r="X26" i="13"/>
  <c r="W26" i="13"/>
  <c r="U26" i="13"/>
  <c r="T26" i="13"/>
  <c r="R26" i="13"/>
  <c r="Q26" i="13"/>
  <c r="N26" i="13"/>
  <c r="AB25" i="13"/>
  <c r="AA25" i="13"/>
  <c r="Z25" i="13"/>
  <c r="Y25" i="13"/>
  <c r="X25" i="13"/>
  <c r="W25" i="13"/>
  <c r="U25" i="13"/>
  <c r="T25" i="13"/>
  <c r="R25" i="13"/>
  <c r="Q25" i="13"/>
  <c r="N25" i="13"/>
  <c r="O25" i="13" s="1"/>
  <c r="P25" i="13" s="1"/>
  <c r="AB24" i="13"/>
  <c r="AA24" i="13"/>
  <c r="Z24" i="13"/>
  <c r="Y24" i="13"/>
  <c r="X24" i="13"/>
  <c r="W24" i="13"/>
  <c r="U24" i="13"/>
  <c r="T24" i="13"/>
  <c r="R24" i="13"/>
  <c r="Q24" i="13"/>
  <c r="N24" i="13"/>
  <c r="O24" i="13" s="1"/>
  <c r="P24" i="13" s="1"/>
  <c r="AB23" i="13"/>
  <c r="AA23" i="13"/>
  <c r="Z23" i="13"/>
  <c r="Y23" i="13"/>
  <c r="X23" i="13"/>
  <c r="W23" i="13"/>
  <c r="U23" i="13"/>
  <c r="T23" i="13"/>
  <c r="R23" i="13"/>
  <c r="Q23" i="13"/>
  <c r="N23" i="13"/>
  <c r="O23" i="13" s="1"/>
  <c r="AB22" i="13"/>
  <c r="AA22" i="13"/>
  <c r="Z22" i="13"/>
  <c r="Y22" i="13"/>
  <c r="X22" i="13"/>
  <c r="W22" i="13"/>
  <c r="U22" i="13"/>
  <c r="T22" i="13"/>
  <c r="R22" i="13"/>
  <c r="Q22" i="13"/>
  <c r="N22" i="13"/>
  <c r="AB21" i="13"/>
  <c r="AA21" i="13"/>
  <c r="Z21" i="13"/>
  <c r="Y21" i="13"/>
  <c r="X21" i="13"/>
  <c r="W21" i="13"/>
  <c r="U21" i="13"/>
  <c r="T21" i="13"/>
  <c r="R21" i="13"/>
  <c r="Q21" i="13"/>
  <c r="N21" i="13"/>
  <c r="O21" i="13" s="1"/>
  <c r="P21" i="13" s="1"/>
  <c r="AB20" i="13"/>
  <c r="AA20" i="13"/>
  <c r="Z20" i="13"/>
  <c r="Y20" i="13"/>
  <c r="X20" i="13"/>
  <c r="W20" i="13"/>
  <c r="U20" i="13"/>
  <c r="T20" i="13"/>
  <c r="R20" i="13"/>
  <c r="Q20" i="13"/>
  <c r="N20" i="13"/>
  <c r="AB19" i="13"/>
  <c r="AA19" i="13"/>
  <c r="Z19" i="13"/>
  <c r="Y19" i="13"/>
  <c r="X19" i="13"/>
  <c r="W19" i="13"/>
  <c r="U19" i="13"/>
  <c r="T19" i="13"/>
  <c r="R19" i="13"/>
  <c r="Q19" i="13"/>
  <c r="N19" i="13"/>
  <c r="O19" i="13" s="1"/>
  <c r="AB18" i="13"/>
  <c r="AA18" i="13"/>
  <c r="Z18" i="13"/>
  <c r="Y18" i="13"/>
  <c r="X18" i="13"/>
  <c r="W18" i="13"/>
  <c r="U18" i="13"/>
  <c r="T18" i="13"/>
  <c r="R18" i="13"/>
  <c r="Q18" i="13"/>
  <c r="N18" i="13"/>
  <c r="AB17" i="13"/>
  <c r="AA17" i="13"/>
  <c r="Z17" i="13"/>
  <c r="Y17" i="13"/>
  <c r="X17" i="13"/>
  <c r="W17" i="13"/>
  <c r="U17" i="13"/>
  <c r="T17" i="13"/>
  <c r="R17" i="13"/>
  <c r="Q17" i="13"/>
  <c r="N17" i="13"/>
  <c r="AB16" i="13"/>
  <c r="AA16" i="13"/>
  <c r="Z16" i="13"/>
  <c r="Y16" i="13"/>
  <c r="X16" i="13"/>
  <c r="W16" i="13"/>
  <c r="U16" i="13"/>
  <c r="T16" i="13"/>
  <c r="R16" i="13"/>
  <c r="Q16" i="13"/>
  <c r="N16" i="13"/>
  <c r="AB15" i="13"/>
  <c r="AA15" i="13"/>
  <c r="Z15" i="13"/>
  <c r="Y15" i="13"/>
  <c r="X15" i="13"/>
  <c r="W15" i="13"/>
  <c r="U15" i="13"/>
  <c r="T15" i="13"/>
  <c r="R15" i="13"/>
  <c r="Q15" i="13"/>
  <c r="N15" i="13"/>
  <c r="O15" i="13" s="1"/>
  <c r="AB14" i="13"/>
  <c r="AA14" i="13"/>
  <c r="Z14" i="13"/>
  <c r="Y14" i="13"/>
  <c r="X14" i="13"/>
  <c r="W14" i="13"/>
  <c r="U14" i="13"/>
  <c r="T14" i="13"/>
  <c r="R14" i="13"/>
  <c r="Q14" i="13"/>
  <c r="N14" i="13"/>
  <c r="AB13" i="13"/>
  <c r="AA13" i="13"/>
  <c r="Z13" i="13"/>
  <c r="Y13" i="13"/>
  <c r="X13" i="13"/>
  <c r="W13" i="13"/>
  <c r="U13" i="13"/>
  <c r="T13" i="13"/>
  <c r="R13" i="13"/>
  <c r="Q13" i="13"/>
  <c r="N13" i="13"/>
  <c r="AB12" i="13"/>
  <c r="AA12" i="13"/>
  <c r="Z12" i="13"/>
  <c r="Y12" i="13"/>
  <c r="X12" i="13"/>
  <c r="W12" i="13"/>
  <c r="U12" i="13"/>
  <c r="T12" i="13"/>
  <c r="R12" i="13"/>
  <c r="Q12" i="13"/>
  <c r="N12" i="13"/>
  <c r="O12" i="13" s="1"/>
  <c r="AB11" i="13"/>
  <c r="AA11" i="13"/>
  <c r="Z11" i="13"/>
  <c r="Y11" i="13"/>
  <c r="X11" i="13"/>
  <c r="W11" i="13"/>
  <c r="U11" i="13"/>
  <c r="T11" i="13"/>
  <c r="R11" i="13"/>
  <c r="Q11" i="13"/>
  <c r="N11" i="13"/>
  <c r="O11" i="13" s="1"/>
  <c r="AB10" i="13"/>
  <c r="AA10" i="13"/>
  <c r="Z10" i="13"/>
  <c r="Y10" i="13"/>
  <c r="X10" i="13"/>
  <c r="W10" i="13"/>
  <c r="U10" i="13"/>
  <c r="T10" i="13"/>
  <c r="R10" i="13"/>
  <c r="Q10" i="13"/>
  <c r="N10" i="13"/>
  <c r="AB9" i="13"/>
  <c r="AA9" i="13"/>
  <c r="Z9" i="13"/>
  <c r="Y9" i="13"/>
  <c r="X9" i="13"/>
  <c r="W9" i="13"/>
  <c r="U9" i="13"/>
  <c r="T9" i="13"/>
  <c r="R9" i="13"/>
  <c r="Q9" i="13"/>
  <c r="O9" i="13"/>
  <c r="N9" i="13"/>
  <c r="AB8" i="13"/>
  <c r="AA8" i="13"/>
  <c r="Z8" i="13"/>
  <c r="Y8" i="13"/>
  <c r="X8" i="13"/>
  <c r="W8" i="13"/>
  <c r="U8" i="13"/>
  <c r="T8" i="13"/>
  <c r="R8" i="13"/>
  <c r="Q8" i="13"/>
  <c r="O8" i="13"/>
  <c r="P8" i="13" s="1"/>
  <c r="N8" i="13"/>
  <c r="AB7" i="13"/>
  <c r="AA7" i="13"/>
  <c r="Z7" i="13"/>
  <c r="Y7" i="13"/>
  <c r="X7" i="13"/>
  <c r="W7" i="13"/>
  <c r="U7" i="13"/>
  <c r="T7" i="13"/>
  <c r="R7" i="13"/>
  <c r="Q7" i="13"/>
  <c r="N7" i="13"/>
  <c r="AB6" i="13"/>
  <c r="AA6" i="13"/>
  <c r="Z6" i="13"/>
  <c r="Y6" i="13"/>
  <c r="X6" i="13"/>
  <c r="W6" i="13"/>
  <c r="U6" i="13"/>
  <c r="T6" i="13"/>
  <c r="R6" i="13"/>
  <c r="Q6" i="13"/>
  <c r="N6" i="13"/>
  <c r="O6" i="13" s="1"/>
  <c r="AB5" i="13"/>
  <c r="AA5" i="13"/>
  <c r="Z5" i="13"/>
  <c r="Y5" i="13"/>
  <c r="X5" i="13"/>
  <c r="W5" i="13"/>
  <c r="U5" i="13"/>
  <c r="T5" i="13"/>
  <c r="R5" i="13"/>
  <c r="Q5" i="13"/>
  <c r="N5" i="13"/>
  <c r="AB4" i="13"/>
  <c r="AA4" i="13"/>
  <c r="Z4" i="13"/>
  <c r="Y4" i="13"/>
  <c r="X4" i="13"/>
  <c r="W4" i="13"/>
  <c r="U4" i="13"/>
  <c r="T4" i="13"/>
  <c r="R4" i="13"/>
  <c r="Q4" i="13"/>
  <c r="N4" i="13"/>
  <c r="O4" i="13" s="1"/>
  <c r="P4" i="13" s="1"/>
  <c r="AB3" i="13"/>
  <c r="AA3" i="13"/>
  <c r="Z3" i="13"/>
  <c r="Y3" i="13"/>
  <c r="X3" i="13"/>
  <c r="W3" i="13"/>
  <c r="U3" i="13"/>
  <c r="T3" i="13"/>
  <c r="R3" i="13"/>
  <c r="Q3" i="13"/>
  <c r="N3" i="13"/>
  <c r="O3" i="13" s="1"/>
  <c r="AB2" i="13"/>
  <c r="AA2" i="13"/>
  <c r="Z2" i="13"/>
  <c r="Y2" i="13"/>
  <c r="X2" i="13"/>
  <c r="W2" i="13"/>
  <c r="U2" i="13"/>
  <c r="T2" i="13"/>
  <c r="R2" i="13"/>
  <c r="Q2" i="13"/>
  <c r="N2" i="13"/>
  <c r="O2" i="13" s="1"/>
  <c r="B2" i="4"/>
  <c r="B1" i="4"/>
  <c r="S2"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C17" i="4"/>
  <c r="B16" i="4"/>
  <c r="C15" i="4"/>
  <c r="B10" i="4"/>
  <c r="B9" i="4"/>
  <c r="B8" i="4"/>
  <c r="AB54" i="9"/>
  <c r="AA54" i="9"/>
  <c r="Z54" i="9"/>
  <c r="Y54" i="9"/>
  <c r="X54" i="9"/>
  <c r="W54" i="9"/>
  <c r="U54" i="9"/>
  <c r="T54" i="9"/>
  <c r="R54" i="9"/>
  <c r="Q54" i="9"/>
  <c r="N54" i="9"/>
  <c r="AB72" i="9"/>
  <c r="AA72" i="9"/>
  <c r="Z72" i="9"/>
  <c r="Y72" i="9"/>
  <c r="X72" i="9"/>
  <c r="W72" i="9"/>
  <c r="U72" i="9"/>
  <c r="T72" i="9"/>
  <c r="R72" i="9"/>
  <c r="Q72" i="9"/>
  <c r="N72" i="9"/>
  <c r="O72" i="9" s="1"/>
  <c r="AB58" i="9"/>
  <c r="AA58" i="9"/>
  <c r="Z58" i="9"/>
  <c r="Y58" i="9"/>
  <c r="X58" i="9"/>
  <c r="W58" i="9"/>
  <c r="U58" i="9"/>
  <c r="T58" i="9"/>
  <c r="R58" i="9"/>
  <c r="Q58" i="9"/>
  <c r="N58" i="9"/>
  <c r="O58" i="9" s="1"/>
  <c r="P58" i="9" s="1"/>
  <c r="AB22" i="9"/>
  <c r="AA22" i="9"/>
  <c r="Z22" i="9"/>
  <c r="Y22" i="9"/>
  <c r="X22" i="9"/>
  <c r="W22" i="9"/>
  <c r="U22" i="9"/>
  <c r="T22" i="9"/>
  <c r="R22" i="9"/>
  <c r="Q22" i="9"/>
  <c r="N22" i="9"/>
  <c r="O22" i="9" s="1"/>
  <c r="P22" i="9" s="1"/>
  <c r="AB64" i="9"/>
  <c r="AA64" i="9"/>
  <c r="Z64" i="9"/>
  <c r="Y64" i="9"/>
  <c r="X64" i="9"/>
  <c r="W64" i="9"/>
  <c r="U64" i="9"/>
  <c r="T64" i="9"/>
  <c r="R64" i="9"/>
  <c r="Q64" i="9"/>
  <c r="N64" i="9"/>
  <c r="AB63" i="9"/>
  <c r="AA63" i="9"/>
  <c r="Z63" i="9"/>
  <c r="Y63" i="9"/>
  <c r="X63" i="9"/>
  <c r="W63" i="9"/>
  <c r="U63" i="9"/>
  <c r="T63" i="9"/>
  <c r="R63" i="9"/>
  <c r="Q63" i="9"/>
  <c r="N63" i="9"/>
  <c r="O63" i="9" s="1"/>
  <c r="AB75" i="9"/>
  <c r="AA75" i="9"/>
  <c r="Z75" i="9"/>
  <c r="Y75" i="9"/>
  <c r="X75" i="9"/>
  <c r="W75" i="9"/>
  <c r="U75" i="9"/>
  <c r="T75" i="9"/>
  <c r="R75" i="9"/>
  <c r="Q75" i="9"/>
  <c r="N75" i="9"/>
  <c r="O75" i="9" s="1"/>
  <c r="P75" i="9" s="1"/>
  <c r="AB30" i="9"/>
  <c r="AA30" i="9"/>
  <c r="Z30" i="9"/>
  <c r="Y30" i="9"/>
  <c r="X30" i="9"/>
  <c r="W30" i="9"/>
  <c r="U30" i="9"/>
  <c r="T30" i="9"/>
  <c r="R30" i="9"/>
  <c r="Q30" i="9"/>
  <c r="O30" i="9"/>
  <c r="P30" i="9" s="1"/>
  <c r="N30" i="9"/>
  <c r="AB49" i="9"/>
  <c r="AA49" i="9"/>
  <c r="Z49" i="9"/>
  <c r="Y49" i="9"/>
  <c r="X49" i="9"/>
  <c r="W49" i="9"/>
  <c r="U49" i="9"/>
  <c r="T49" i="9"/>
  <c r="R49" i="9"/>
  <c r="Q49" i="9"/>
  <c r="N49" i="9"/>
  <c r="AB71" i="9"/>
  <c r="AA71" i="9"/>
  <c r="Z71" i="9"/>
  <c r="Y71" i="9"/>
  <c r="X71" i="9"/>
  <c r="W71" i="9"/>
  <c r="U71" i="9"/>
  <c r="T71" i="9"/>
  <c r="R71" i="9"/>
  <c r="Q71" i="9"/>
  <c r="N71" i="9"/>
  <c r="O71" i="9" s="1"/>
  <c r="AB76" i="9"/>
  <c r="AA76" i="9"/>
  <c r="Z76" i="9"/>
  <c r="Y76" i="9"/>
  <c r="X76" i="9"/>
  <c r="W76" i="9"/>
  <c r="U76" i="9"/>
  <c r="T76" i="9"/>
  <c r="R76" i="9"/>
  <c r="Q76" i="9"/>
  <c r="N76" i="9"/>
  <c r="O76" i="9" s="1"/>
  <c r="P76" i="9" s="1"/>
  <c r="AB68" i="9"/>
  <c r="AA68" i="9"/>
  <c r="Z68" i="9"/>
  <c r="Y68" i="9"/>
  <c r="X68" i="9"/>
  <c r="W68" i="9"/>
  <c r="U68" i="9"/>
  <c r="T68" i="9"/>
  <c r="R68" i="9"/>
  <c r="Q68" i="9"/>
  <c r="N68" i="9"/>
  <c r="O68" i="9" s="1"/>
  <c r="P68" i="9" s="1"/>
  <c r="AB77" i="9"/>
  <c r="AA77" i="9"/>
  <c r="Z77" i="9"/>
  <c r="Y77" i="9"/>
  <c r="X77" i="9"/>
  <c r="W77" i="9"/>
  <c r="U77" i="9"/>
  <c r="T77" i="9"/>
  <c r="R77" i="9"/>
  <c r="Q77" i="9"/>
  <c r="N77" i="9"/>
  <c r="AB56" i="9"/>
  <c r="AA56" i="9"/>
  <c r="Z56" i="9"/>
  <c r="Y56" i="9"/>
  <c r="X56" i="9"/>
  <c r="W56" i="9"/>
  <c r="U56" i="9"/>
  <c r="T56" i="9"/>
  <c r="R56" i="9"/>
  <c r="Q56" i="9"/>
  <c r="N56" i="9"/>
  <c r="O56" i="9" s="1"/>
  <c r="P56" i="9" s="1"/>
  <c r="V56" i="9" s="1"/>
  <c r="AB60" i="9"/>
  <c r="AA60" i="9"/>
  <c r="Z60" i="9"/>
  <c r="Y60" i="9"/>
  <c r="X60" i="9"/>
  <c r="W60" i="9"/>
  <c r="U60" i="9"/>
  <c r="T60" i="9"/>
  <c r="R60" i="9"/>
  <c r="Q60" i="9"/>
  <c r="N60" i="9"/>
  <c r="O60" i="9" s="1"/>
  <c r="P60" i="9" s="1"/>
  <c r="AB66" i="9"/>
  <c r="AA66" i="9"/>
  <c r="Z66" i="9"/>
  <c r="Y66" i="9"/>
  <c r="X66" i="9"/>
  <c r="W66" i="9"/>
  <c r="U66" i="9"/>
  <c r="T66" i="9"/>
  <c r="R66" i="9"/>
  <c r="Q66" i="9"/>
  <c r="N66" i="9"/>
  <c r="AB25" i="9"/>
  <c r="AA25" i="9"/>
  <c r="Z25" i="9"/>
  <c r="Y25" i="9"/>
  <c r="X25" i="9"/>
  <c r="W25" i="9"/>
  <c r="U25" i="9"/>
  <c r="T25" i="9"/>
  <c r="R25" i="9"/>
  <c r="Q25" i="9"/>
  <c r="N25" i="9"/>
  <c r="O25" i="9" s="1"/>
  <c r="AB18" i="9"/>
  <c r="AA18" i="9"/>
  <c r="Z18" i="9"/>
  <c r="Y18" i="9"/>
  <c r="X18" i="9"/>
  <c r="W18" i="9"/>
  <c r="U18" i="9"/>
  <c r="T18" i="9"/>
  <c r="R18" i="9"/>
  <c r="Q18" i="9"/>
  <c r="N18" i="9"/>
  <c r="O18" i="9" s="1"/>
  <c r="P18" i="9" s="1"/>
  <c r="AB51" i="9"/>
  <c r="AA51" i="9"/>
  <c r="Z51" i="9"/>
  <c r="Y51" i="9"/>
  <c r="X51" i="9"/>
  <c r="W51" i="9"/>
  <c r="U51" i="9"/>
  <c r="T51" i="9"/>
  <c r="R51" i="9"/>
  <c r="Q51" i="9"/>
  <c r="N51" i="9"/>
  <c r="O51" i="9" s="1"/>
  <c r="P51" i="9" s="1"/>
  <c r="AB34" i="9"/>
  <c r="AA34" i="9"/>
  <c r="Z34" i="9"/>
  <c r="Y34" i="9"/>
  <c r="X34" i="9"/>
  <c r="W34" i="9"/>
  <c r="U34" i="9"/>
  <c r="T34" i="9"/>
  <c r="R34" i="9"/>
  <c r="Q34" i="9"/>
  <c r="N34" i="9"/>
  <c r="AB47" i="9"/>
  <c r="AA47" i="9"/>
  <c r="Z47" i="9"/>
  <c r="Y47" i="9"/>
  <c r="X47" i="9"/>
  <c r="W47" i="9"/>
  <c r="U47" i="9"/>
  <c r="T47" i="9"/>
  <c r="R47" i="9"/>
  <c r="Q47" i="9"/>
  <c r="N47" i="9"/>
  <c r="O47" i="9" s="1"/>
  <c r="AB45" i="9"/>
  <c r="AA45" i="9"/>
  <c r="Z45" i="9"/>
  <c r="Y45" i="9"/>
  <c r="X45" i="9"/>
  <c r="W45" i="9"/>
  <c r="U45" i="9"/>
  <c r="T45" i="9"/>
  <c r="R45" i="9"/>
  <c r="Q45" i="9"/>
  <c r="N45" i="9"/>
  <c r="O45" i="9" s="1"/>
  <c r="P45" i="9" s="1"/>
  <c r="AB21" i="9"/>
  <c r="AA21" i="9"/>
  <c r="Z21" i="9"/>
  <c r="Y21" i="9"/>
  <c r="X21" i="9"/>
  <c r="W21" i="9"/>
  <c r="U21" i="9"/>
  <c r="T21" i="9"/>
  <c r="R21" i="9"/>
  <c r="Q21" i="9"/>
  <c r="O21" i="9"/>
  <c r="P21" i="9" s="1"/>
  <c r="N21" i="9"/>
  <c r="AB33" i="9"/>
  <c r="AA33" i="9"/>
  <c r="Z33" i="9"/>
  <c r="Y33" i="9"/>
  <c r="X33" i="9"/>
  <c r="W33" i="9"/>
  <c r="U33" i="9"/>
  <c r="T33" i="9"/>
  <c r="R33" i="9"/>
  <c r="Q33" i="9"/>
  <c r="N33" i="9"/>
  <c r="AB65" i="9"/>
  <c r="AA65" i="9"/>
  <c r="Z65" i="9"/>
  <c r="Y65" i="9"/>
  <c r="X65" i="9"/>
  <c r="W65" i="9"/>
  <c r="U65" i="9"/>
  <c r="T65" i="9"/>
  <c r="R65" i="9"/>
  <c r="Q65" i="9"/>
  <c r="N65" i="9"/>
  <c r="O65" i="9" s="1"/>
  <c r="AB37" i="9"/>
  <c r="AA37" i="9"/>
  <c r="Z37" i="9"/>
  <c r="Y37" i="9"/>
  <c r="X37" i="9"/>
  <c r="W37" i="9"/>
  <c r="U37" i="9"/>
  <c r="T37" i="9"/>
  <c r="R37" i="9"/>
  <c r="Q37" i="9"/>
  <c r="P37" i="9"/>
  <c r="N37" i="9"/>
  <c r="O37" i="9" s="1"/>
  <c r="AB59" i="9"/>
  <c r="AA59" i="9"/>
  <c r="Z59" i="9"/>
  <c r="Y59" i="9"/>
  <c r="X59" i="9"/>
  <c r="W59" i="9"/>
  <c r="U59" i="9"/>
  <c r="T59" i="9"/>
  <c r="R59" i="9"/>
  <c r="Q59" i="9"/>
  <c r="N59" i="9"/>
  <c r="O59" i="9" s="1"/>
  <c r="P59" i="9" s="1"/>
  <c r="AB26" i="9"/>
  <c r="AA26" i="9"/>
  <c r="Z26" i="9"/>
  <c r="Y26" i="9"/>
  <c r="X26" i="9"/>
  <c r="W26" i="9"/>
  <c r="U26" i="9"/>
  <c r="T26" i="9"/>
  <c r="R26" i="9"/>
  <c r="Q26" i="9"/>
  <c r="N26" i="9"/>
  <c r="AB9" i="9"/>
  <c r="AA9" i="9"/>
  <c r="Z9" i="9"/>
  <c r="Y9" i="9"/>
  <c r="X9" i="9"/>
  <c r="W9" i="9"/>
  <c r="U9" i="9"/>
  <c r="T9" i="9"/>
  <c r="R9" i="9"/>
  <c r="Q9" i="9"/>
  <c r="N9" i="9"/>
  <c r="O9" i="9" s="1"/>
  <c r="AB62" i="9"/>
  <c r="AA62" i="9"/>
  <c r="Z62" i="9"/>
  <c r="Y62" i="9"/>
  <c r="X62" i="9"/>
  <c r="W62" i="9"/>
  <c r="U62" i="9"/>
  <c r="T62" i="9"/>
  <c r="R62" i="9"/>
  <c r="Q62" i="9"/>
  <c r="N62" i="9"/>
  <c r="O62" i="9" s="1"/>
  <c r="AB39" i="9"/>
  <c r="AA39" i="9"/>
  <c r="Z39" i="9"/>
  <c r="Y39" i="9"/>
  <c r="X39" i="9"/>
  <c r="W39" i="9"/>
  <c r="U39" i="9"/>
  <c r="T39" i="9"/>
  <c r="R39" i="9"/>
  <c r="Q39" i="9"/>
  <c r="O39" i="9"/>
  <c r="P39" i="9" s="1"/>
  <c r="V39" i="9" s="1"/>
  <c r="N39" i="9"/>
  <c r="AB5" i="9"/>
  <c r="AA5" i="9"/>
  <c r="Z5" i="9"/>
  <c r="Y5" i="9"/>
  <c r="X5" i="9"/>
  <c r="W5" i="9"/>
  <c r="U5" i="9"/>
  <c r="T5" i="9"/>
  <c r="R5" i="9"/>
  <c r="Q5" i="9"/>
  <c r="N5" i="9"/>
  <c r="AB73" i="9"/>
  <c r="AA73" i="9"/>
  <c r="Z73" i="9"/>
  <c r="Y73" i="9"/>
  <c r="X73" i="9"/>
  <c r="W73" i="9"/>
  <c r="U73" i="9"/>
  <c r="T73" i="9"/>
  <c r="R73" i="9"/>
  <c r="Q73" i="9"/>
  <c r="N73" i="9"/>
  <c r="O73" i="9" s="1"/>
  <c r="AB24" i="9"/>
  <c r="AA24" i="9"/>
  <c r="Z24" i="9"/>
  <c r="Y24" i="9"/>
  <c r="X24" i="9"/>
  <c r="W24" i="9"/>
  <c r="U24" i="9"/>
  <c r="T24" i="9"/>
  <c r="R24" i="9"/>
  <c r="Q24" i="9"/>
  <c r="N24" i="9"/>
  <c r="O24" i="9" s="1"/>
  <c r="AB61" i="9"/>
  <c r="AA61" i="9"/>
  <c r="Z61" i="9"/>
  <c r="Y61" i="9"/>
  <c r="X61" i="9"/>
  <c r="W61" i="9"/>
  <c r="U61" i="9"/>
  <c r="T61" i="9"/>
  <c r="R61" i="9"/>
  <c r="Q61" i="9"/>
  <c r="N61" i="9"/>
  <c r="O61" i="9" s="1"/>
  <c r="P61" i="9" s="1"/>
  <c r="AB12" i="9"/>
  <c r="AA12" i="9"/>
  <c r="Z12" i="9"/>
  <c r="Y12" i="9"/>
  <c r="X12" i="9"/>
  <c r="W12" i="9"/>
  <c r="U12" i="9"/>
  <c r="T12" i="9"/>
  <c r="R12" i="9"/>
  <c r="Q12" i="9"/>
  <c r="N12" i="9"/>
  <c r="AB15" i="9"/>
  <c r="AA15" i="9"/>
  <c r="Z15" i="9"/>
  <c r="Y15" i="9"/>
  <c r="X15" i="9"/>
  <c r="W15" i="9"/>
  <c r="U15" i="9"/>
  <c r="T15" i="9"/>
  <c r="R15" i="9"/>
  <c r="Q15" i="9"/>
  <c r="N15" i="9"/>
  <c r="O15" i="9" s="1"/>
  <c r="AB13" i="9"/>
  <c r="AA13" i="9"/>
  <c r="Z13" i="9"/>
  <c r="Y13" i="9"/>
  <c r="X13" i="9"/>
  <c r="W13" i="9"/>
  <c r="U13" i="9"/>
  <c r="T13" i="9"/>
  <c r="R13" i="9"/>
  <c r="Q13" i="9"/>
  <c r="N13" i="9"/>
  <c r="O13" i="9" s="1"/>
  <c r="AB27" i="9"/>
  <c r="AA27" i="9"/>
  <c r="Z27" i="9"/>
  <c r="Y27" i="9"/>
  <c r="X27" i="9"/>
  <c r="W27" i="9"/>
  <c r="U27" i="9"/>
  <c r="T27" i="9"/>
  <c r="R27" i="9"/>
  <c r="Q27" i="9"/>
  <c r="N27" i="9"/>
  <c r="O27" i="9" s="1"/>
  <c r="P27" i="9" s="1"/>
  <c r="AB57" i="9"/>
  <c r="AA57" i="9"/>
  <c r="Z57" i="9"/>
  <c r="Y57" i="9"/>
  <c r="X57" i="9"/>
  <c r="W57" i="9"/>
  <c r="U57" i="9"/>
  <c r="T57" i="9"/>
  <c r="R57" i="9"/>
  <c r="Q57" i="9"/>
  <c r="N57" i="9"/>
  <c r="AB4" i="9"/>
  <c r="AA4" i="9"/>
  <c r="Z4" i="9"/>
  <c r="Y4" i="9"/>
  <c r="X4" i="9"/>
  <c r="W4" i="9"/>
  <c r="U4" i="9"/>
  <c r="T4" i="9"/>
  <c r="R4" i="9"/>
  <c r="Q4" i="9"/>
  <c r="N4" i="9"/>
  <c r="O4" i="9" s="1"/>
  <c r="AB29" i="9"/>
  <c r="AA29" i="9"/>
  <c r="Z29" i="9"/>
  <c r="Y29" i="9"/>
  <c r="X29" i="9"/>
  <c r="W29" i="9"/>
  <c r="U29" i="9"/>
  <c r="T29" i="9"/>
  <c r="R29" i="9"/>
  <c r="Q29" i="9"/>
  <c r="P29" i="9"/>
  <c r="N29" i="9"/>
  <c r="O29" i="9" s="1"/>
  <c r="AB35" i="9"/>
  <c r="AA35" i="9"/>
  <c r="Z35" i="9"/>
  <c r="Y35" i="9"/>
  <c r="X35" i="9"/>
  <c r="W35" i="9"/>
  <c r="U35" i="9"/>
  <c r="T35" i="9"/>
  <c r="R35" i="9"/>
  <c r="Q35" i="9"/>
  <c r="N35" i="9"/>
  <c r="O35" i="9" s="1"/>
  <c r="P35" i="9" s="1"/>
  <c r="AB7" i="9"/>
  <c r="AA7" i="9"/>
  <c r="Z7" i="9"/>
  <c r="Y7" i="9"/>
  <c r="X7" i="9"/>
  <c r="W7" i="9"/>
  <c r="U7" i="9"/>
  <c r="T7" i="9"/>
  <c r="R7" i="9"/>
  <c r="Q7" i="9"/>
  <c r="N7" i="9"/>
  <c r="AB55" i="9"/>
  <c r="AA55" i="9"/>
  <c r="Z55" i="9"/>
  <c r="Y55" i="9"/>
  <c r="X55" i="9"/>
  <c r="W55" i="9"/>
  <c r="U55" i="9"/>
  <c r="T55" i="9"/>
  <c r="R55" i="9"/>
  <c r="Q55" i="9"/>
  <c r="N55" i="9"/>
  <c r="O55" i="9" s="1"/>
  <c r="AB11" i="9"/>
  <c r="AA11" i="9"/>
  <c r="Z11" i="9"/>
  <c r="Y11" i="9"/>
  <c r="X11" i="9"/>
  <c r="W11" i="9"/>
  <c r="U11" i="9"/>
  <c r="T11" i="9"/>
  <c r="R11" i="9"/>
  <c r="Q11" i="9"/>
  <c r="N11" i="9"/>
  <c r="O11" i="9" s="1"/>
  <c r="AB44" i="9"/>
  <c r="AA44" i="9"/>
  <c r="Z44" i="9"/>
  <c r="Y44" i="9"/>
  <c r="X44" i="9"/>
  <c r="W44" i="9"/>
  <c r="U44" i="9"/>
  <c r="T44" i="9"/>
  <c r="R44" i="9"/>
  <c r="Q44" i="9"/>
  <c r="N44" i="9"/>
  <c r="O44" i="9" s="1"/>
  <c r="P44" i="9" s="1"/>
  <c r="V44" i="9" s="1"/>
  <c r="AB31" i="9"/>
  <c r="AA31" i="9"/>
  <c r="Z31" i="9"/>
  <c r="Y31" i="9"/>
  <c r="X31" i="9"/>
  <c r="W31" i="9"/>
  <c r="U31" i="9"/>
  <c r="T31" i="9"/>
  <c r="R31" i="9"/>
  <c r="Q31" i="9"/>
  <c r="N31" i="9"/>
  <c r="AB32" i="9"/>
  <c r="AA32" i="9"/>
  <c r="Z32" i="9"/>
  <c r="Y32" i="9"/>
  <c r="X32" i="9"/>
  <c r="W32" i="9"/>
  <c r="U32" i="9"/>
  <c r="T32" i="9"/>
  <c r="R32" i="9"/>
  <c r="Q32" i="9"/>
  <c r="N32" i="9"/>
  <c r="O32" i="9" s="1"/>
  <c r="AB40" i="9"/>
  <c r="AA40" i="9"/>
  <c r="Z40" i="9"/>
  <c r="Y40" i="9"/>
  <c r="X40" i="9"/>
  <c r="W40" i="9"/>
  <c r="U40" i="9"/>
  <c r="T40" i="9"/>
  <c r="R40" i="9"/>
  <c r="Q40" i="9"/>
  <c r="N40" i="9"/>
  <c r="O40" i="9" s="1"/>
  <c r="AB52" i="9"/>
  <c r="AA52" i="9"/>
  <c r="Z52" i="9"/>
  <c r="Y52" i="9"/>
  <c r="X52" i="9"/>
  <c r="W52" i="9"/>
  <c r="U52" i="9"/>
  <c r="T52" i="9"/>
  <c r="R52" i="9"/>
  <c r="Q52" i="9"/>
  <c r="N52" i="9"/>
  <c r="O52" i="9" s="1"/>
  <c r="P52" i="9" s="1"/>
  <c r="V52" i="9" s="1"/>
  <c r="AB38" i="9"/>
  <c r="AA38" i="9"/>
  <c r="Z38" i="9"/>
  <c r="Y38" i="9"/>
  <c r="X38" i="9"/>
  <c r="W38" i="9"/>
  <c r="U38" i="9"/>
  <c r="T38" i="9"/>
  <c r="R38" i="9"/>
  <c r="Q38" i="9"/>
  <c r="N38" i="9"/>
  <c r="AB36" i="9"/>
  <c r="AA36" i="9"/>
  <c r="Z36" i="9"/>
  <c r="Y36" i="9"/>
  <c r="X36" i="9"/>
  <c r="W36" i="9"/>
  <c r="U36" i="9"/>
  <c r="T36" i="9"/>
  <c r="R36" i="9"/>
  <c r="Q36" i="9"/>
  <c r="N36" i="9"/>
  <c r="O36" i="9" s="1"/>
  <c r="AB14" i="9"/>
  <c r="AA14" i="9"/>
  <c r="Z14" i="9"/>
  <c r="Y14" i="9"/>
  <c r="X14" i="9"/>
  <c r="W14" i="9"/>
  <c r="U14" i="9"/>
  <c r="T14" i="9"/>
  <c r="R14" i="9"/>
  <c r="Q14" i="9"/>
  <c r="N14" i="9"/>
  <c r="O14" i="9" s="1"/>
  <c r="AB67" i="9"/>
  <c r="AA67" i="9"/>
  <c r="Z67" i="9"/>
  <c r="Y67" i="9"/>
  <c r="X67" i="9"/>
  <c r="W67" i="9"/>
  <c r="U67" i="9"/>
  <c r="T67" i="9"/>
  <c r="R67" i="9"/>
  <c r="Q67" i="9"/>
  <c r="N67" i="9"/>
  <c r="O67" i="9" s="1"/>
  <c r="P67" i="9" s="1"/>
  <c r="V67" i="9" s="1"/>
  <c r="AB16" i="9"/>
  <c r="AA16" i="9"/>
  <c r="Z16" i="9"/>
  <c r="Y16" i="9"/>
  <c r="X16" i="9"/>
  <c r="W16" i="9"/>
  <c r="U16" i="9"/>
  <c r="T16" i="9"/>
  <c r="R16" i="9"/>
  <c r="Q16" i="9"/>
  <c r="N16" i="9"/>
  <c r="AB48" i="9"/>
  <c r="AA48" i="9"/>
  <c r="Z48" i="9"/>
  <c r="Y48" i="9"/>
  <c r="X48" i="9"/>
  <c r="W48" i="9"/>
  <c r="U48" i="9"/>
  <c r="T48" i="9"/>
  <c r="R48" i="9"/>
  <c r="Q48" i="9"/>
  <c r="N48" i="9"/>
  <c r="O48" i="9" s="1"/>
  <c r="AB6" i="9"/>
  <c r="AA6" i="9"/>
  <c r="Z6" i="9"/>
  <c r="Y6" i="9"/>
  <c r="X6" i="9"/>
  <c r="W6" i="9"/>
  <c r="U6" i="9"/>
  <c r="T6" i="9"/>
  <c r="R6" i="9"/>
  <c r="Q6" i="9"/>
  <c r="N6" i="9"/>
  <c r="O6" i="9" s="1"/>
  <c r="AB20" i="9"/>
  <c r="AA20" i="9"/>
  <c r="Z20" i="9"/>
  <c r="Y20" i="9"/>
  <c r="X20" i="9"/>
  <c r="W20" i="9"/>
  <c r="U20" i="9"/>
  <c r="T20" i="9"/>
  <c r="R20" i="9"/>
  <c r="Q20" i="9"/>
  <c r="N20" i="9"/>
  <c r="O20" i="9" s="1"/>
  <c r="P20" i="9" s="1"/>
  <c r="V20" i="9" s="1"/>
  <c r="AB69" i="9"/>
  <c r="AA69" i="9"/>
  <c r="Z69" i="9"/>
  <c r="Y69" i="9"/>
  <c r="X69" i="9"/>
  <c r="W69" i="9"/>
  <c r="U69" i="9"/>
  <c r="T69" i="9"/>
  <c r="R69" i="9"/>
  <c r="Q69" i="9"/>
  <c r="N69" i="9"/>
  <c r="AB53" i="9"/>
  <c r="AA53" i="9"/>
  <c r="Z53" i="9"/>
  <c r="Y53" i="9"/>
  <c r="X53" i="9"/>
  <c r="W53" i="9"/>
  <c r="U53" i="9"/>
  <c r="T53" i="9"/>
  <c r="R53" i="9"/>
  <c r="Q53" i="9"/>
  <c r="N53" i="9"/>
  <c r="O53" i="9" s="1"/>
  <c r="AB2" i="9"/>
  <c r="AA2" i="9"/>
  <c r="Z2" i="9"/>
  <c r="Y2" i="9"/>
  <c r="X2" i="9"/>
  <c r="W2" i="9"/>
  <c r="U2" i="9"/>
  <c r="T2" i="9"/>
  <c r="R2" i="9"/>
  <c r="Q2" i="9"/>
  <c r="N2" i="9"/>
  <c r="O2" i="9" s="1"/>
  <c r="AB70" i="9"/>
  <c r="AA70" i="9"/>
  <c r="Z70" i="9"/>
  <c r="Y70" i="9"/>
  <c r="X70" i="9"/>
  <c r="W70" i="9"/>
  <c r="U70" i="9"/>
  <c r="T70" i="9"/>
  <c r="R70" i="9"/>
  <c r="Q70" i="9"/>
  <c r="N70" i="9"/>
  <c r="O70" i="9" s="1"/>
  <c r="P70" i="9" s="1"/>
  <c r="V70" i="9" s="1"/>
  <c r="AB19" i="9"/>
  <c r="AA19" i="9"/>
  <c r="Z19" i="9"/>
  <c r="Y19" i="9"/>
  <c r="X19" i="9"/>
  <c r="W19" i="9"/>
  <c r="U19" i="9"/>
  <c r="T19" i="9"/>
  <c r="R19" i="9"/>
  <c r="Q19" i="9"/>
  <c r="N19" i="9"/>
  <c r="AB41" i="9"/>
  <c r="AA41" i="9"/>
  <c r="Z41" i="9"/>
  <c r="Y41" i="9"/>
  <c r="X41" i="9"/>
  <c r="W41" i="9"/>
  <c r="U41" i="9"/>
  <c r="T41" i="9"/>
  <c r="R41" i="9"/>
  <c r="Q41" i="9"/>
  <c r="N41" i="9"/>
  <c r="O41" i="9" s="1"/>
  <c r="AB10" i="9"/>
  <c r="AA10" i="9"/>
  <c r="Z10" i="9"/>
  <c r="Y10" i="9"/>
  <c r="X10" i="9"/>
  <c r="W10" i="9"/>
  <c r="U10" i="9"/>
  <c r="T10" i="9"/>
  <c r="R10" i="9"/>
  <c r="Q10" i="9"/>
  <c r="N10" i="9"/>
  <c r="O10" i="9" s="1"/>
  <c r="AB28" i="9"/>
  <c r="AA28" i="9"/>
  <c r="Z28" i="9"/>
  <c r="Y28" i="9"/>
  <c r="X28" i="9"/>
  <c r="W28" i="9"/>
  <c r="U28" i="9"/>
  <c r="T28" i="9"/>
  <c r="R28" i="9"/>
  <c r="Q28" i="9"/>
  <c r="N28" i="9"/>
  <c r="O28" i="9" s="1"/>
  <c r="P28" i="9" s="1"/>
  <c r="V28" i="9" s="1"/>
  <c r="AB17" i="9"/>
  <c r="AA17" i="9"/>
  <c r="Z17" i="9"/>
  <c r="Y17" i="9"/>
  <c r="X17" i="9"/>
  <c r="W17" i="9"/>
  <c r="U17" i="9"/>
  <c r="T17" i="9"/>
  <c r="R17" i="9"/>
  <c r="Q17" i="9"/>
  <c r="N17" i="9"/>
  <c r="AB23" i="9"/>
  <c r="AA23" i="9"/>
  <c r="Z23" i="9"/>
  <c r="Y23" i="9"/>
  <c r="X23" i="9"/>
  <c r="W23" i="9"/>
  <c r="U23" i="9"/>
  <c r="T23" i="9"/>
  <c r="R23" i="9"/>
  <c r="Q23" i="9"/>
  <c r="N23" i="9"/>
  <c r="O23" i="9" s="1"/>
  <c r="AB42" i="9"/>
  <c r="AA42" i="9"/>
  <c r="Z42" i="9"/>
  <c r="Y42" i="9"/>
  <c r="X42" i="9"/>
  <c r="W42" i="9"/>
  <c r="U42" i="9"/>
  <c r="T42" i="9"/>
  <c r="R42" i="9"/>
  <c r="Q42" i="9"/>
  <c r="N42" i="9"/>
  <c r="O42" i="9" s="1"/>
  <c r="AB74" i="9"/>
  <c r="AA74" i="9"/>
  <c r="Z74" i="9"/>
  <c r="Y74" i="9"/>
  <c r="X74" i="9"/>
  <c r="W74" i="9"/>
  <c r="U74" i="9"/>
  <c r="T74" i="9"/>
  <c r="R74" i="9"/>
  <c r="Q74" i="9"/>
  <c r="N74" i="9"/>
  <c r="O74" i="9" s="1"/>
  <c r="P74" i="9" s="1"/>
  <c r="V74" i="9" s="1"/>
  <c r="AB50" i="9"/>
  <c r="AA50" i="9"/>
  <c r="Z50" i="9"/>
  <c r="Y50" i="9"/>
  <c r="X50" i="9"/>
  <c r="W50" i="9"/>
  <c r="U50" i="9"/>
  <c r="T50" i="9"/>
  <c r="R50" i="9"/>
  <c r="Q50" i="9"/>
  <c r="N50" i="9"/>
  <c r="AB8" i="9"/>
  <c r="AA8" i="9"/>
  <c r="Z8" i="9"/>
  <c r="Y8" i="9"/>
  <c r="X8" i="9"/>
  <c r="W8" i="9"/>
  <c r="U8" i="9"/>
  <c r="T8" i="9"/>
  <c r="R8" i="9"/>
  <c r="Q8" i="9"/>
  <c r="N8" i="9"/>
  <c r="O8" i="9" s="1"/>
  <c r="AB43" i="9"/>
  <c r="AA43" i="9"/>
  <c r="Z43" i="9"/>
  <c r="Y43" i="9"/>
  <c r="X43" i="9"/>
  <c r="W43" i="9"/>
  <c r="U43" i="9"/>
  <c r="T43" i="9"/>
  <c r="R43" i="9"/>
  <c r="Q43" i="9"/>
  <c r="N43" i="9"/>
  <c r="O43" i="9" s="1"/>
  <c r="AB46" i="9"/>
  <c r="AA46" i="9"/>
  <c r="Z46" i="9"/>
  <c r="Y46" i="9"/>
  <c r="X46" i="9"/>
  <c r="W46" i="9"/>
  <c r="U46" i="9"/>
  <c r="T46" i="9"/>
  <c r="R46" i="9"/>
  <c r="Q46" i="9"/>
  <c r="N46" i="9"/>
  <c r="O46" i="9" s="1"/>
  <c r="P46" i="9" s="1"/>
  <c r="V46" i="9" s="1"/>
  <c r="AB3" i="9"/>
  <c r="AA3" i="9"/>
  <c r="Z3" i="9"/>
  <c r="Y3" i="9"/>
  <c r="X3" i="9"/>
  <c r="W3" i="9"/>
  <c r="U3" i="9"/>
  <c r="T3" i="9"/>
  <c r="R3" i="9"/>
  <c r="Q3" i="9"/>
  <c r="N3" i="9"/>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C14" i="4"/>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Q2" i="1"/>
  <c r="Q3" i="1"/>
  <c r="Q4" i="1"/>
  <c r="Q5" i="1"/>
  <c r="Q6" i="1"/>
  <c r="Q7" i="1"/>
  <c r="Q8" i="1"/>
  <c r="Q9" i="1"/>
  <c r="Q10" i="1"/>
  <c r="Q11" i="1"/>
  <c r="Q12" i="1"/>
  <c r="Q13" i="1"/>
  <c r="Q14" i="1"/>
  <c r="Q15" i="1"/>
  <c r="Q16" i="1"/>
  <c r="Q17" i="1"/>
  <c r="Q18" i="1"/>
  <c r="Q19" i="1"/>
  <c r="Q20" i="1"/>
  <c r="Q21" i="1"/>
  <c r="Q22" i="1"/>
  <c r="Q23" i="1"/>
  <c r="Q24"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N2" i="1"/>
  <c r="O2" i="1" s="1"/>
  <c r="N3" i="1"/>
  <c r="O3" i="1" s="1"/>
  <c r="N4" i="1"/>
  <c r="O4" i="1" s="1"/>
  <c r="N5" i="1"/>
  <c r="O5" i="1" s="1"/>
  <c r="N6" i="1"/>
  <c r="N7" i="1"/>
  <c r="O7" i="1" s="1"/>
  <c r="N8" i="1"/>
  <c r="O8" i="1" s="1"/>
  <c r="N9" i="1"/>
  <c r="O9" i="1" s="1"/>
  <c r="N10" i="1"/>
  <c r="N11" i="1"/>
  <c r="O11" i="1" s="1"/>
  <c r="N12" i="1"/>
  <c r="O12" i="1" s="1"/>
  <c r="N13" i="1"/>
  <c r="O13" i="1" s="1"/>
  <c r="N14" i="1"/>
  <c r="O14" i="1" s="1"/>
  <c r="N15" i="1"/>
  <c r="O15" i="1" s="1"/>
  <c r="N16" i="1"/>
  <c r="O16" i="1" s="1"/>
  <c r="N17" i="1"/>
  <c r="O17" i="1" s="1"/>
  <c r="N18" i="1"/>
  <c r="N19" i="1"/>
  <c r="O19" i="1" s="1"/>
  <c r="N20" i="1"/>
  <c r="O20" i="1" s="1"/>
  <c r="N21" i="1"/>
  <c r="O21" i="1" s="1"/>
  <c r="N22" i="1"/>
  <c r="O22" i="1" s="1"/>
  <c r="N23" i="1"/>
  <c r="O23" i="1" s="1"/>
  <c r="N24" i="1"/>
  <c r="O24" i="1" s="1"/>
  <c r="N25" i="1"/>
  <c r="O25" i="1" s="1"/>
  <c r="N26" i="1"/>
  <c r="N27" i="1"/>
  <c r="O27" i="1" s="1"/>
  <c r="N28" i="1"/>
  <c r="O28" i="1" s="1"/>
  <c r="N29" i="1"/>
  <c r="O29" i="1" s="1"/>
  <c r="N30" i="1"/>
  <c r="O30" i="1" s="1"/>
  <c r="N31" i="1"/>
  <c r="O31" i="1" s="1"/>
  <c r="N32" i="1"/>
  <c r="O32" i="1" s="1"/>
  <c r="N33" i="1"/>
  <c r="O33" i="1" s="1"/>
  <c r="N34" i="1"/>
  <c r="N35" i="1"/>
  <c r="O35" i="1" s="1"/>
  <c r="N36" i="1"/>
  <c r="O36" i="1" s="1"/>
  <c r="N37" i="1"/>
  <c r="O37" i="1" s="1"/>
  <c r="N38" i="1"/>
  <c r="N39" i="1"/>
  <c r="O39" i="1" s="1"/>
  <c r="N40" i="1"/>
  <c r="O40" i="1" s="1"/>
  <c r="N41" i="1"/>
  <c r="O41" i="1" s="1"/>
  <c r="N42" i="1"/>
  <c r="N43" i="1"/>
  <c r="O43" i="1" s="1"/>
  <c r="N44" i="1"/>
  <c r="O44" i="1" s="1"/>
  <c r="N45" i="1"/>
  <c r="O45" i="1" s="1"/>
  <c r="N46" i="1"/>
  <c r="O46" i="1" s="1"/>
  <c r="N47" i="1"/>
  <c r="O47" i="1" s="1"/>
  <c r="N48" i="1"/>
  <c r="O48" i="1" s="1"/>
  <c r="N49" i="1"/>
  <c r="O49" i="1" s="1"/>
  <c r="N50" i="1"/>
  <c r="N51" i="1"/>
  <c r="O51" i="1" s="1"/>
  <c r="N52" i="1"/>
  <c r="O52" i="1" s="1"/>
  <c r="N53" i="1"/>
  <c r="O53" i="1" s="1"/>
  <c r="N54" i="1"/>
  <c r="O54" i="1" s="1"/>
  <c r="N55" i="1"/>
  <c r="O55" i="1" s="1"/>
  <c r="N56" i="1"/>
  <c r="O56" i="1" s="1"/>
  <c r="N57" i="1"/>
  <c r="O57" i="1" s="1"/>
  <c r="N58" i="1"/>
  <c r="N59" i="1"/>
  <c r="O59" i="1" s="1"/>
  <c r="N60" i="1"/>
  <c r="O60" i="1" s="1"/>
  <c r="N61" i="1"/>
  <c r="O61" i="1" s="1"/>
  <c r="N62" i="1"/>
  <c r="N63" i="1"/>
  <c r="O63" i="1" s="1"/>
  <c r="N64" i="1"/>
  <c r="O64" i="1" s="1"/>
  <c r="N65" i="1"/>
  <c r="N66" i="1"/>
  <c r="O66" i="1" s="1"/>
  <c r="N67" i="1"/>
  <c r="O67" i="1" s="1"/>
  <c r="N68" i="1"/>
  <c r="O68" i="1" s="1"/>
  <c r="N69" i="1"/>
  <c r="O69" i="1" s="1"/>
  <c r="N70" i="1"/>
  <c r="O70" i="1" s="1"/>
  <c r="N71" i="1"/>
  <c r="O71" i="1" s="1"/>
  <c r="N72" i="1"/>
  <c r="O72" i="1" s="1"/>
  <c r="N73" i="1"/>
  <c r="N74" i="1"/>
  <c r="O74" i="1" s="1"/>
  <c r="N75" i="1"/>
  <c r="O75" i="1" s="1"/>
  <c r="N76" i="1"/>
  <c r="O76" i="1" s="1"/>
  <c r="N77" i="1"/>
  <c r="P32" i="13" l="1"/>
  <c r="V32" i="13" s="1"/>
  <c r="P9" i="13"/>
  <c r="V9" i="13" s="1"/>
  <c r="O29" i="13"/>
  <c r="P29" i="13" s="1"/>
  <c r="O32" i="13"/>
  <c r="P33" i="13"/>
  <c r="S33" i="13" s="1"/>
  <c r="P12" i="13"/>
  <c r="V12" i="13" s="1"/>
  <c r="P65" i="13"/>
  <c r="S65" i="13" s="1"/>
  <c r="V68" i="13"/>
  <c r="S68" i="13"/>
  <c r="V76" i="13"/>
  <c r="S76" i="13"/>
  <c r="O5" i="13"/>
  <c r="P5" i="13" s="1"/>
  <c r="O13" i="13"/>
  <c r="P13" i="13" s="1"/>
  <c r="O16" i="13"/>
  <c r="P16" i="13" s="1"/>
  <c r="O20" i="13"/>
  <c r="P20" i="13" s="1"/>
  <c r="O40" i="13"/>
  <c r="P40" i="13" s="1"/>
  <c r="P61" i="13"/>
  <c r="S61" i="13" s="1"/>
  <c r="S72" i="13"/>
  <c r="O17" i="13"/>
  <c r="P17" i="13" s="1"/>
  <c r="O28" i="13"/>
  <c r="P28" i="13" s="1"/>
  <c r="P57" i="13"/>
  <c r="P73" i="13"/>
  <c r="V73" i="13" s="1"/>
  <c r="V8" i="13"/>
  <c r="S8" i="13"/>
  <c r="S49" i="13"/>
  <c r="V49" i="13"/>
  <c r="V64" i="13"/>
  <c r="S64" i="13"/>
  <c r="V4" i="13"/>
  <c r="S4" i="13"/>
  <c r="V48" i="13"/>
  <c r="S48" i="13"/>
  <c r="V24" i="13"/>
  <c r="S24" i="13"/>
  <c r="V52" i="13"/>
  <c r="S52" i="13"/>
  <c r="S41" i="13"/>
  <c r="V41" i="13"/>
  <c r="S53" i="13"/>
  <c r="V53" i="13"/>
  <c r="V60" i="13"/>
  <c r="S60" i="13"/>
  <c r="S37" i="13"/>
  <c r="V37" i="13"/>
  <c r="S45" i="13"/>
  <c r="V45" i="13"/>
  <c r="V56" i="13"/>
  <c r="S56" i="13"/>
  <c r="O22" i="13"/>
  <c r="P22" i="13" s="1"/>
  <c r="P23" i="13"/>
  <c r="V33" i="13"/>
  <c r="S57" i="13"/>
  <c r="V57" i="13"/>
  <c r="V61" i="13"/>
  <c r="V65" i="13"/>
  <c r="O71" i="13"/>
  <c r="P71" i="13" s="1"/>
  <c r="O75" i="13"/>
  <c r="P75" i="13" s="1"/>
  <c r="P19" i="13"/>
  <c r="O34" i="13"/>
  <c r="P34" i="13" s="1"/>
  <c r="P35" i="13"/>
  <c r="O38" i="13"/>
  <c r="P38" i="13" s="1"/>
  <c r="P43" i="13"/>
  <c r="P2" i="13"/>
  <c r="O7" i="13"/>
  <c r="P7" i="13" s="1"/>
  <c r="O10" i="13"/>
  <c r="P10" i="13" s="1"/>
  <c r="P11" i="13"/>
  <c r="S21" i="13"/>
  <c r="V21" i="13"/>
  <c r="O26" i="13"/>
  <c r="P26" i="13" s="1"/>
  <c r="P27" i="13"/>
  <c r="S77" i="13"/>
  <c r="V77" i="13"/>
  <c r="P18" i="13"/>
  <c r="O18" i="13"/>
  <c r="P39" i="13"/>
  <c r="O42" i="13"/>
  <c r="P42" i="13" s="1"/>
  <c r="P3" i="13"/>
  <c r="P6" i="13"/>
  <c r="S9" i="13"/>
  <c r="O14" i="13"/>
  <c r="P14" i="13" s="1"/>
  <c r="P15" i="13"/>
  <c r="S25" i="13"/>
  <c r="V25" i="13"/>
  <c r="O30" i="13"/>
  <c r="P30" i="13" s="1"/>
  <c r="P31" i="13"/>
  <c r="S36" i="13"/>
  <c r="S44" i="13"/>
  <c r="S69" i="13"/>
  <c r="V69" i="13"/>
  <c r="S73" i="13"/>
  <c r="O46" i="13"/>
  <c r="P46" i="13" s="1"/>
  <c r="P47" i="13"/>
  <c r="O50" i="13"/>
  <c r="P50" i="13" s="1"/>
  <c r="P51" i="13"/>
  <c r="O54" i="13"/>
  <c r="P54" i="13" s="1"/>
  <c r="P55" i="13"/>
  <c r="O58" i="13"/>
  <c r="P58" i="13" s="1"/>
  <c r="P59" i="13"/>
  <c r="O62" i="13"/>
  <c r="P62" i="13" s="1"/>
  <c r="P63" i="13"/>
  <c r="O66" i="13"/>
  <c r="P66" i="13" s="1"/>
  <c r="P67" i="13"/>
  <c r="O70" i="13"/>
  <c r="P70" i="13" s="1"/>
  <c r="O74" i="13"/>
  <c r="P74" i="13" s="1"/>
  <c r="O54" i="9"/>
  <c r="P54" i="9" s="1"/>
  <c r="V27" i="9"/>
  <c r="V59" i="9"/>
  <c r="V61" i="9"/>
  <c r="V35" i="9"/>
  <c r="P42" i="9"/>
  <c r="P2" i="9"/>
  <c r="P14" i="9"/>
  <c r="P11" i="9"/>
  <c r="V11" i="9" s="1"/>
  <c r="P62" i="9"/>
  <c r="P24" i="9"/>
  <c r="V24" i="9" s="1"/>
  <c r="P43" i="9"/>
  <c r="P10" i="9"/>
  <c r="V10" i="9" s="1"/>
  <c r="P6" i="9"/>
  <c r="P40" i="9"/>
  <c r="V40" i="9" s="1"/>
  <c r="P13" i="9"/>
  <c r="P72" i="9"/>
  <c r="V60" i="9"/>
  <c r="V30" i="9"/>
  <c r="V58" i="9"/>
  <c r="O3" i="9"/>
  <c r="P3" i="9" s="1"/>
  <c r="O50" i="9"/>
  <c r="P50" i="9" s="1"/>
  <c r="O17" i="9"/>
  <c r="P17" i="9" s="1"/>
  <c r="O19" i="9"/>
  <c r="P19" i="9" s="1"/>
  <c r="O69" i="9"/>
  <c r="P69" i="9" s="1"/>
  <c r="O16" i="9"/>
  <c r="P16" i="9" s="1"/>
  <c r="O38" i="9"/>
  <c r="P38" i="9" s="1"/>
  <c r="O31" i="9"/>
  <c r="P31" i="9" s="1"/>
  <c r="O7" i="9"/>
  <c r="P7" i="9" s="1"/>
  <c r="O57" i="9"/>
  <c r="P57" i="9" s="1"/>
  <c r="O12" i="9"/>
  <c r="P12" i="9" s="1"/>
  <c r="O5" i="9"/>
  <c r="P5" i="9" s="1"/>
  <c r="O26" i="9"/>
  <c r="P26" i="9" s="1"/>
  <c r="O33" i="9"/>
  <c r="P33" i="9" s="1"/>
  <c r="V45" i="9"/>
  <c r="V22" i="9"/>
  <c r="V21" i="9"/>
  <c r="V18" i="9"/>
  <c r="V76" i="9"/>
  <c r="V43" i="9"/>
  <c r="V42" i="9"/>
  <c r="V2" i="9"/>
  <c r="V6" i="9"/>
  <c r="V14" i="9"/>
  <c r="V29" i="9"/>
  <c r="V13" i="9"/>
  <c r="V62" i="9"/>
  <c r="V37" i="9"/>
  <c r="V51" i="9"/>
  <c r="V68" i="9"/>
  <c r="V75" i="9"/>
  <c r="V72" i="9"/>
  <c r="P8" i="9"/>
  <c r="P23" i="9"/>
  <c r="P41" i="9"/>
  <c r="P53" i="9"/>
  <c r="P48" i="9"/>
  <c r="P36" i="9"/>
  <c r="P32" i="9"/>
  <c r="P55" i="9"/>
  <c r="P4" i="9"/>
  <c r="P15" i="9"/>
  <c r="P73" i="9"/>
  <c r="P9" i="9"/>
  <c r="P65" i="9"/>
  <c r="P47" i="9"/>
  <c r="P25" i="9"/>
  <c r="P71" i="9"/>
  <c r="P63" i="9"/>
  <c r="O34" i="9"/>
  <c r="P34" i="9" s="1"/>
  <c r="O66" i="9"/>
  <c r="P66" i="9" s="1"/>
  <c r="O77" i="9"/>
  <c r="P77" i="9" s="1"/>
  <c r="O49" i="9"/>
  <c r="P49" i="9" s="1"/>
  <c r="O64" i="9"/>
  <c r="P64" i="9" s="1"/>
  <c r="P69" i="1"/>
  <c r="P54" i="1"/>
  <c r="P46" i="1"/>
  <c r="P30" i="1"/>
  <c r="P22" i="1"/>
  <c r="P14" i="1"/>
  <c r="P6" i="1"/>
  <c r="O38" i="1"/>
  <c r="P38" i="1" s="1"/>
  <c r="O6" i="1"/>
  <c r="P5" i="1"/>
  <c r="P3" i="1"/>
  <c r="B7" i="4" s="1"/>
  <c r="O77" i="1"/>
  <c r="P77" i="1" s="1"/>
  <c r="O62" i="1"/>
  <c r="P62" i="1" s="1"/>
  <c r="P76" i="1"/>
  <c r="P72" i="1"/>
  <c r="P68" i="1"/>
  <c r="P61" i="1"/>
  <c r="P57" i="1"/>
  <c r="P53" i="1"/>
  <c r="P49" i="1"/>
  <c r="P45" i="1"/>
  <c r="P41" i="1"/>
  <c r="P37" i="1"/>
  <c r="P33" i="1"/>
  <c r="P29" i="1"/>
  <c r="P25" i="1"/>
  <c r="P21" i="1"/>
  <c r="P17" i="1"/>
  <c r="P13" i="1"/>
  <c r="P9" i="1"/>
  <c r="O73" i="1"/>
  <c r="P73" i="1" s="1"/>
  <c r="O58" i="1"/>
  <c r="P58" i="1" s="1"/>
  <c r="O42" i="1"/>
  <c r="P42" i="1" s="1"/>
  <c r="O26" i="1"/>
  <c r="P26" i="1" s="1"/>
  <c r="O10" i="1"/>
  <c r="P10" i="1" s="1"/>
  <c r="P75" i="1"/>
  <c r="P71" i="1"/>
  <c r="P67" i="1"/>
  <c r="P64" i="1"/>
  <c r="P60" i="1"/>
  <c r="P56" i="1"/>
  <c r="P52" i="1"/>
  <c r="P48" i="1"/>
  <c r="P44" i="1"/>
  <c r="P40" i="1"/>
  <c r="P36" i="1"/>
  <c r="P32" i="1"/>
  <c r="P28" i="1"/>
  <c r="P24" i="1"/>
  <c r="P20" i="1"/>
  <c r="P16" i="1"/>
  <c r="P12" i="1"/>
  <c r="P8" i="1"/>
  <c r="P4" i="1"/>
  <c r="P74" i="1"/>
  <c r="P70" i="1"/>
  <c r="P66" i="1"/>
  <c r="P63" i="1"/>
  <c r="P59" i="1"/>
  <c r="P55" i="1"/>
  <c r="P51" i="1"/>
  <c r="P47" i="1"/>
  <c r="P43" i="1"/>
  <c r="P39" i="1"/>
  <c r="P35" i="1"/>
  <c r="P31" i="1"/>
  <c r="P27" i="1"/>
  <c r="P23" i="1"/>
  <c r="P19" i="1"/>
  <c r="P15" i="1"/>
  <c r="P11" i="1"/>
  <c r="P7" i="1"/>
  <c r="O65" i="1"/>
  <c r="P65" i="1" s="1"/>
  <c r="O50" i="1"/>
  <c r="P50" i="1" s="1"/>
  <c r="O34" i="1"/>
  <c r="P34" i="1" s="1"/>
  <c r="O18" i="1"/>
  <c r="P18" i="1" s="1"/>
  <c r="P2" i="1"/>
  <c r="S29" i="13" l="1"/>
  <c r="V29" i="13"/>
  <c r="S12" i="13"/>
  <c r="S32" i="13"/>
  <c r="V20" i="13"/>
  <c r="S20" i="13"/>
  <c r="V16" i="13"/>
  <c r="S16" i="13"/>
  <c r="V13" i="13"/>
  <c r="S13" i="13"/>
  <c r="S17" i="13"/>
  <c r="V17" i="13"/>
  <c r="V28" i="13"/>
  <c r="S28" i="13"/>
  <c r="V40" i="13"/>
  <c r="S40" i="13"/>
  <c r="V5" i="13"/>
  <c r="S5" i="13"/>
  <c r="S54" i="13"/>
  <c r="V54" i="13"/>
  <c r="S38" i="13"/>
  <c r="V38" i="13"/>
  <c r="S66" i="13"/>
  <c r="V66" i="13"/>
  <c r="S7" i="13"/>
  <c r="V7" i="13"/>
  <c r="S22" i="13"/>
  <c r="V22" i="13"/>
  <c r="S70" i="13"/>
  <c r="V70" i="13"/>
  <c r="S74" i="13"/>
  <c r="V74" i="13"/>
  <c r="S58" i="13"/>
  <c r="V58" i="13"/>
  <c r="S50" i="13"/>
  <c r="V50" i="13"/>
  <c r="S30" i="13"/>
  <c r="V30" i="13"/>
  <c r="S42" i="13"/>
  <c r="V42" i="13"/>
  <c r="S26" i="13"/>
  <c r="V26" i="13"/>
  <c r="S34" i="13"/>
  <c r="V34" i="13"/>
  <c r="S71" i="13"/>
  <c r="V71" i="13"/>
  <c r="S55" i="13"/>
  <c r="V55" i="13"/>
  <c r="S6" i="13"/>
  <c r="V6" i="13"/>
  <c r="V43" i="13"/>
  <c r="S43" i="13"/>
  <c r="S75" i="13"/>
  <c r="V75" i="13"/>
  <c r="V23" i="13"/>
  <c r="S23" i="13"/>
  <c r="S3" i="13"/>
  <c r="V3" i="13"/>
  <c r="S47" i="13"/>
  <c r="V47" i="13"/>
  <c r="S15" i="13"/>
  <c r="V15" i="13"/>
  <c r="S11" i="13"/>
  <c r="V11" i="13"/>
  <c r="V19" i="13"/>
  <c r="S19" i="13"/>
  <c r="S62" i="13"/>
  <c r="V62" i="13"/>
  <c r="S46" i="13"/>
  <c r="V46" i="13"/>
  <c r="S31" i="13"/>
  <c r="V31" i="13"/>
  <c r="S14" i="13"/>
  <c r="V14" i="13"/>
  <c r="V39" i="13"/>
  <c r="S39" i="13"/>
  <c r="S18" i="13"/>
  <c r="V18" i="13"/>
  <c r="S27" i="13"/>
  <c r="V27" i="13"/>
  <c r="S10" i="13"/>
  <c r="V10" i="13"/>
  <c r="S59" i="13"/>
  <c r="V59" i="13"/>
  <c r="S63" i="13"/>
  <c r="V63" i="13"/>
  <c r="S67" i="13"/>
  <c r="V67" i="13"/>
  <c r="S51" i="13"/>
  <c r="V51" i="13"/>
  <c r="S2" i="13"/>
  <c r="V2" i="13"/>
  <c r="V35" i="13"/>
  <c r="S35" i="13"/>
  <c r="V54" i="9"/>
  <c r="B6" i="4"/>
  <c r="B3" i="4"/>
  <c r="V7" i="9"/>
  <c r="V66" i="9"/>
  <c r="V5" i="9"/>
  <c r="V38" i="9"/>
  <c r="V26" i="9"/>
  <c r="V64" i="9"/>
  <c r="V34" i="9"/>
  <c r="V12" i="9"/>
  <c r="V69" i="9"/>
  <c r="V77" i="9"/>
  <c r="V3" i="9"/>
  <c r="V33" i="9"/>
  <c r="V57" i="9"/>
  <c r="V17" i="9"/>
  <c r="V48" i="9"/>
  <c r="V50" i="9"/>
  <c r="V49" i="9"/>
  <c r="V9" i="9"/>
  <c r="V55" i="9"/>
  <c r="V53" i="9"/>
  <c r="V65" i="9"/>
  <c r="V8" i="9"/>
  <c r="V16" i="9"/>
  <c r="V63" i="9"/>
  <c r="V25" i="9"/>
  <c r="V73" i="9"/>
  <c r="V32" i="9"/>
  <c r="V41" i="9"/>
  <c r="V31" i="9"/>
  <c r="V19" i="9"/>
  <c r="V4" i="9"/>
  <c r="V71" i="9"/>
  <c r="V47" i="9"/>
  <c r="V15" i="9"/>
  <c r="V36" i="9"/>
  <c r="V23" i="9"/>
  <c r="S15" i="1"/>
  <c r="V15" i="1"/>
  <c r="S47" i="1"/>
  <c r="V47" i="1"/>
  <c r="S4" i="1"/>
  <c r="V4" i="1"/>
  <c r="S20" i="1"/>
  <c r="V20" i="1"/>
  <c r="S52" i="1"/>
  <c r="V52" i="1"/>
  <c r="S67" i="1"/>
  <c r="V67" i="1"/>
  <c r="S9" i="1"/>
  <c r="V9" i="1"/>
  <c r="S41" i="1"/>
  <c r="V41" i="1"/>
  <c r="S72" i="1"/>
  <c r="V72" i="1"/>
  <c r="S6" i="1"/>
  <c r="V6" i="1"/>
  <c r="S65" i="1"/>
  <c r="V65" i="1"/>
  <c r="S51" i="1"/>
  <c r="V51" i="1"/>
  <c r="S8" i="1"/>
  <c r="V8" i="1"/>
  <c r="S40" i="1"/>
  <c r="V40" i="1"/>
  <c r="S71" i="1"/>
  <c r="V71" i="1"/>
  <c r="S13" i="1"/>
  <c r="V13" i="1"/>
  <c r="S45" i="1"/>
  <c r="V45" i="1"/>
  <c r="S76" i="1"/>
  <c r="V76" i="1"/>
  <c r="S5" i="1"/>
  <c r="V5" i="1"/>
  <c r="S14" i="1"/>
  <c r="V14" i="1"/>
  <c r="S46" i="1"/>
  <c r="V46" i="1"/>
  <c r="S18" i="1"/>
  <c r="V18" i="1"/>
  <c r="S7" i="1"/>
  <c r="V7" i="1"/>
  <c r="S23" i="1"/>
  <c r="V23" i="1"/>
  <c r="S39" i="1"/>
  <c r="V39" i="1"/>
  <c r="S55" i="1"/>
  <c r="V55" i="1"/>
  <c r="S70" i="1"/>
  <c r="V70" i="1"/>
  <c r="S12" i="1"/>
  <c r="V12" i="1"/>
  <c r="S28" i="1"/>
  <c r="V28" i="1"/>
  <c r="S44" i="1"/>
  <c r="V44" i="1"/>
  <c r="S60" i="1"/>
  <c r="V60" i="1"/>
  <c r="S75" i="1"/>
  <c r="V75" i="1"/>
  <c r="S58" i="1"/>
  <c r="V58" i="1"/>
  <c r="S17" i="1"/>
  <c r="V17" i="1"/>
  <c r="S33" i="1"/>
  <c r="V33" i="1"/>
  <c r="S49" i="1"/>
  <c r="V49" i="1"/>
  <c r="S62" i="1"/>
  <c r="V62" i="1"/>
  <c r="S22" i="1"/>
  <c r="V22" i="1"/>
  <c r="S54" i="1"/>
  <c r="V54" i="1"/>
  <c r="S50" i="1"/>
  <c r="V50" i="1"/>
  <c r="S31" i="1"/>
  <c r="V31" i="1"/>
  <c r="S63" i="1"/>
  <c r="V63" i="1"/>
  <c r="S36" i="1"/>
  <c r="V36" i="1"/>
  <c r="S26" i="1"/>
  <c r="V26" i="1"/>
  <c r="S25" i="1"/>
  <c r="V25" i="1"/>
  <c r="S57" i="1"/>
  <c r="V57" i="1"/>
  <c r="S3" i="1"/>
  <c r="V3" i="1"/>
  <c r="S38" i="1"/>
  <c r="V38" i="1"/>
  <c r="S2" i="1"/>
  <c r="V2" i="1"/>
  <c r="S19" i="1"/>
  <c r="V19" i="1"/>
  <c r="S35" i="1"/>
  <c r="V35" i="1"/>
  <c r="S66" i="1"/>
  <c r="V66" i="1"/>
  <c r="S24" i="1"/>
  <c r="V24" i="1"/>
  <c r="S56" i="1"/>
  <c r="V56" i="1"/>
  <c r="S42" i="1"/>
  <c r="V42" i="1"/>
  <c r="S29" i="1"/>
  <c r="V29" i="1"/>
  <c r="S61" i="1"/>
  <c r="V61" i="1"/>
  <c r="S34" i="1"/>
  <c r="V34" i="1"/>
  <c r="S11" i="1"/>
  <c r="V11" i="1"/>
  <c r="S27" i="1"/>
  <c r="V27" i="1"/>
  <c r="S43" i="1"/>
  <c r="V43" i="1"/>
  <c r="S59" i="1"/>
  <c r="V59" i="1"/>
  <c r="S74" i="1"/>
  <c r="V74" i="1"/>
  <c r="S16" i="1"/>
  <c r="V16" i="1"/>
  <c r="S32" i="1"/>
  <c r="V32" i="1"/>
  <c r="S48" i="1"/>
  <c r="V48" i="1"/>
  <c r="S64" i="1"/>
  <c r="V64" i="1"/>
  <c r="S10" i="1"/>
  <c r="V10" i="1"/>
  <c r="S73" i="1"/>
  <c r="V73" i="1"/>
  <c r="S21" i="1"/>
  <c r="V21" i="1"/>
  <c r="S37" i="1"/>
  <c r="V37" i="1"/>
  <c r="S53" i="1"/>
  <c r="V53" i="1"/>
  <c r="S68" i="1"/>
  <c r="V68" i="1"/>
  <c r="S77" i="1"/>
  <c r="V77" i="1"/>
  <c r="S30" i="1"/>
  <c r="V30" i="1"/>
  <c r="S69" i="1"/>
  <c r="V6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397A2E-5019-4689-8D14-8E91E6D13E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0D1984-0DC8-4C2B-9F67-3258AD4C7E58}" name="WorksheetConnection_Financial_Transactions_Assignment2.xlsx!Table1" type="102" refreshedVersion="8" minRefreshableVersion="5">
    <extLst>
      <ext xmlns:x15="http://schemas.microsoft.com/office/spreadsheetml/2010/11/main" uri="{DE250136-89BD-433C-8126-D09CA5730AF9}">
        <x15:connection id="Table1" autoDelete="1">
          <x15:rangePr sourceName="_xlcn.WorksheetConnection_Financial_Transactions_Assignment2.xlsxTable11"/>
        </x15:connection>
      </ext>
    </extLst>
  </connection>
</connections>
</file>

<file path=xl/sharedStrings.xml><?xml version="1.0" encoding="utf-8"?>
<sst xmlns="http://schemas.openxmlformats.org/spreadsheetml/2006/main" count="2203" uniqueCount="319">
  <si>
    <t>Transaction_ID</t>
  </si>
  <si>
    <t>Date</t>
  </si>
  <si>
    <t>Region</t>
  </si>
  <si>
    <t>Sales_Channel</t>
  </si>
  <si>
    <t>Customer_Name</t>
  </si>
  <si>
    <t>Category</t>
  </si>
  <si>
    <t>Product</t>
  </si>
  <si>
    <t>Quantity</t>
  </si>
  <si>
    <t>Unit_Price_INR</t>
  </si>
  <si>
    <t>Discount_Rate</t>
  </si>
  <si>
    <t>Payment_Method</t>
  </si>
  <si>
    <t>Status</t>
  </si>
  <si>
    <t>Sales_Rep_ID</t>
  </si>
  <si>
    <t>TXN1001</t>
  </si>
  <si>
    <t>North</t>
  </si>
  <si>
    <t>Retail</t>
  </si>
  <si>
    <t>Asha Stores</t>
  </si>
  <si>
    <t>Electronics</t>
  </si>
  <si>
    <t>Laptop</t>
  </si>
  <si>
    <t>UPI</t>
  </si>
  <si>
    <t>Completed</t>
  </si>
  <si>
    <t>EMP01</t>
  </si>
  <si>
    <t>TXN1002</t>
  </si>
  <si>
    <t>South</t>
  </si>
  <si>
    <t>Online</t>
  </si>
  <si>
    <t>Bright Mart</t>
  </si>
  <si>
    <t>Home</t>
  </si>
  <si>
    <t>Mixer Grinder</t>
  </si>
  <si>
    <t>Card</t>
  </si>
  <si>
    <t>EMP03</t>
  </si>
  <si>
    <t>TXN1003</t>
  </si>
  <si>
    <t>West</t>
  </si>
  <si>
    <t>City Bazaar</t>
  </si>
  <si>
    <t>Grocery</t>
  </si>
  <si>
    <t>Rice Bag</t>
  </si>
  <si>
    <t>Cash</t>
  </si>
  <si>
    <t>EMP02</t>
  </si>
  <si>
    <t>TXN1004</t>
  </si>
  <si>
    <t>East</t>
  </si>
  <si>
    <t>Wholesale</t>
  </si>
  <si>
    <t>Delta Traders</t>
  </si>
  <si>
    <t>Office</t>
  </si>
  <si>
    <t>Printer</t>
  </si>
  <si>
    <t>Bank Transfer</t>
  </si>
  <si>
    <t>EMP04</t>
  </si>
  <si>
    <t>TXN1005</t>
  </si>
  <si>
    <t>Evergreen Shop</t>
  </si>
  <si>
    <t>Fashion</t>
  </si>
  <si>
    <t>Jacket</t>
  </si>
  <si>
    <t>TXN1006</t>
  </si>
  <si>
    <t>Fresh Basket</t>
  </si>
  <si>
    <t>Cooking Oil</t>
  </si>
  <si>
    <t>EMP05</t>
  </si>
  <si>
    <t>TXN1007</t>
  </si>
  <si>
    <t>Global Needs</t>
  </si>
  <si>
    <t>Headphones</t>
  </si>
  <si>
    <t>Pending</t>
  </si>
  <si>
    <t>TXN1008</t>
  </si>
  <si>
    <t>Harbor Supplies</t>
  </si>
  <si>
    <t>Office Chair</t>
  </si>
  <si>
    <t>TXN1009</t>
  </si>
  <si>
    <t>Indigo Retailers</t>
  </si>
  <si>
    <t>Water Purifier</t>
  </si>
  <si>
    <t>TXN1010</t>
  </si>
  <si>
    <t>Jasmine Market</t>
  </si>
  <si>
    <t>Shoes</t>
  </si>
  <si>
    <t>Refunded</t>
  </si>
  <si>
    <t>TXN1011</t>
  </si>
  <si>
    <t>Kingfisher Store</t>
  </si>
  <si>
    <t>Monitor</t>
  </si>
  <si>
    <t>TXN1012</t>
  </si>
  <si>
    <t>Lotus Distributors</t>
  </si>
  <si>
    <t>Wheat Flour</t>
  </si>
  <si>
    <t>TXN1013</t>
  </si>
  <si>
    <t>Metro Shop</t>
  </si>
  <si>
    <t>Air Fryer</t>
  </si>
  <si>
    <t>TXN1014</t>
  </si>
  <si>
    <t>Nova Stores</t>
  </si>
  <si>
    <t>Notebook Pack</t>
  </si>
  <si>
    <t>TXN1015</t>
  </si>
  <si>
    <t>Ocean Traders</t>
  </si>
  <si>
    <t>Smartphone</t>
  </si>
  <si>
    <t>TXN1016</t>
  </si>
  <si>
    <t>Prime Retail</t>
  </si>
  <si>
    <t>Backpack</t>
  </si>
  <si>
    <t>TXN1017</t>
  </si>
  <si>
    <t>Quick Buy</t>
  </si>
  <si>
    <t>Tea Pack</t>
  </si>
  <si>
    <t>TXN1018</t>
  </si>
  <si>
    <t>Royal Mart</t>
  </si>
  <si>
    <t>Microwave</t>
  </si>
  <si>
    <t>TXN1019</t>
  </si>
  <si>
    <t>Sunrise Shop</t>
  </si>
  <si>
    <t>Tablet</t>
  </si>
  <si>
    <t>TXN1020</t>
  </si>
  <si>
    <t>Trinity Store</t>
  </si>
  <si>
    <t>T-Shirt</t>
  </si>
  <si>
    <t>TXN1021</t>
  </si>
  <si>
    <t>Unity Traders</t>
  </si>
  <si>
    <t>Desk</t>
  </si>
  <si>
    <t>TXN1022</t>
  </si>
  <si>
    <t>Value Hub</t>
  </si>
  <si>
    <t>Coffee Pack</t>
  </si>
  <si>
    <t>TXN1023</t>
  </si>
  <si>
    <t>Willow Mart</t>
  </si>
  <si>
    <t>Vacuum Cleaner</t>
  </si>
  <si>
    <t>TXN1024</t>
  </si>
  <si>
    <t>Xpress Distributors</t>
  </si>
  <si>
    <t>Keyboard</t>
  </si>
  <si>
    <t>TXN1025</t>
  </si>
  <si>
    <t>Yellow Basket</t>
  </si>
  <si>
    <t>Jeans</t>
  </si>
  <si>
    <t>TXN1026</t>
  </si>
  <si>
    <t>Zenith Shop</t>
  </si>
  <si>
    <t>Calculator</t>
  </si>
  <si>
    <t>TXN1027</t>
  </si>
  <si>
    <t>Apex Traders</t>
  </si>
  <si>
    <t>Sugar Bag</t>
  </si>
  <si>
    <t>Cancelled</t>
  </si>
  <si>
    <t>TXN1028</t>
  </si>
  <si>
    <t>Bluebird Store</t>
  </si>
  <si>
    <t>Ceiling Fan</t>
  </si>
  <si>
    <t>TXN1029</t>
  </si>
  <si>
    <t>Coral Market</t>
  </si>
  <si>
    <t>Power Bank</t>
  </si>
  <si>
    <t>TXN1030</t>
  </si>
  <si>
    <t>Dawn Distributors</t>
  </si>
  <si>
    <t>Handbag</t>
  </si>
  <si>
    <t>TXN1031</t>
  </si>
  <si>
    <t>Elm Retail</t>
  </si>
  <si>
    <t>Smartwatch</t>
  </si>
  <si>
    <t>TXN1032</t>
  </si>
  <si>
    <t>Fern Stores</t>
  </si>
  <si>
    <t>Milk Powder</t>
  </si>
  <si>
    <t>TXN1033</t>
  </si>
  <si>
    <t>Grove Traders</t>
  </si>
  <si>
    <t>Refrigerator</t>
  </si>
  <si>
    <t>TXN1034</t>
  </si>
  <si>
    <t>Hilltop Shop</t>
  </si>
  <si>
    <t>Paper Box</t>
  </si>
  <si>
    <t>TXN1035</t>
  </si>
  <si>
    <t>Ivory Market</t>
  </si>
  <si>
    <t>Sneakers</t>
  </si>
  <si>
    <t>TXN1036</t>
  </si>
  <si>
    <t>Juniper Distributors</t>
  </si>
  <si>
    <t>Projector</t>
  </si>
  <si>
    <t>TXN1037</t>
  </si>
  <si>
    <t>Kite Store</t>
  </si>
  <si>
    <t>Dry Fruits</t>
  </si>
  <si>
    <t>TXN1038</t>
  </si>
  <si>
    <t>Lime Bazaar</t>
  </si>
  <si>
    <t>Blender</t>
  </si>
  <si>
    <t>TXN1039</t>
  </si>
  <si>
    <t>Maple Traders</t>
  </si>
  <si>
    <t>Filing Cabinet</t>
  </si>
  <si>
    <t>TXN1040</t>
  </si>
  <si>
    <t>Noble Retail</t>
  </si>
  <si>
    <t>Watch</t>
  </si>
  <si>
    <t>TXN1041</t>
  </si>
  <si>
    <t>Olive Shop</t>
  </si>
  <si>
    <t>SSD Drive</t>
  </si>
  <si>
    <t>TXN1042</t>
  </si>
  <si>
    <t>Pioneer Distributors</t>
  </si>
  <si>
    <t>Spice Box</t>
  </si>
  <si>
    <t>TXN1043</t>
  </si>
  <si>
    <t>Quartz Mart</t>
  </si>
  <si>
    <t>Water Heater</t>
  </si>
  <si>
    <t>TXN1044</t>
  </si>
  <si>
    <t>River Store</t>
  </si>
  <si>
    <t>Stapler Pack</t>
  </si>
  <si>
    <t>TXN1045</t>
  </si>
  <si>
    <t>Silverline Traders</t>
  </si>
  <si>
    <t>Camera</t>
  </si>
  <si>
    <t>TXN1046</t>
  </si>
  <si>
    <t>Topaz Shop</t>
  </si>
  <si>
    <t>Formal Shirt</t>
  </si>
  <si>
    <t>TXN1047</t>
  </si>
  <si>
    <t>Uptown Market</t>
  </si>
  <si>
    <t>Oats Pack</t>
  </si>
  <si>
    <t>TXN1048</t>
  </si>
  <si>
    <t>Vista Traders</t>
  </si>
  <si>
    <t>Washing Machine</t>
  </si>
  <si>
    <t>TXN1049</t>
  </si>
  <si>
    <t>Wave Retail</t>
  </si>
  <si>
    <t>Webcam</t>
  </si>
  <si>
    <t>TXN1050</t>
  </si>
  <si>
    <t>Xenia Stores</t>
  </si>
  <si>
    <t>Pen Box</t>
  </si>
  <si>
    <t>TXN1051</t>
  </si>
  <si>
    <t>Yonder Distributors</t>
  </si>
  <si>
    <t>Travel Bag</t>
  </si>
  <si>
    <t>TXN1052</t>
  </si>
  <si>
    <t>Zest Shop</t>
  </si>
  <si>
    <t>Breakfast Cereal</t>
  </si>
  <si>
    <t>TXN1053</t>
  </si>
  <si>
    <t>Amber Mart</t>
  </si>
  <si>
    <t>Induction Stove</t>
  </si>
  <si>
    <t>TXN1054</t>
  </si>
  <si>
    <t>Beacon Traders</t>
  </si>
  <si>
    <t>Router</t>
  </si>
  <si>
    <t>TXN1055</t>
  </si>
  <si>
    <t>Cedar Store</t>
  </si>
  <si>
    <t>Monitor Stand</t>
  </si>
  <si>
    <t>TXN1056</t>
  </si>
  <si>
    <t>Driftwood Shop</t>
  </si>
  <si>
    <t>Sunglasses</t>
  </si>
  <si>
    <t>TXN1057</t>
  </si>
  <si>
    <t>Ember Distributors</t>
  </si>
  <si>
    <t>Lentils Bag</t>
  </si>
  <si>
    <t>TXN1058</t>
  </si>
  <si>
    <t>Flint Retail</t>
  </si>
  <si>
    <t>Toaster</t>
  </si>
  <si>
    <t>TXN1059</t>
  </si>
  <si>
    <t>Glacier Market</t>
  </si>
  <si>
    <t>Microphone</t>
  </si>
  <si>
    <t>TXN1060</t>
  </si>
  <si>
    <t>Horizon Traders</t>
  </si>
  <si>
    <t>Bookshelf</t>
  </si>
  <si>
    <t>TXN1061</t>
  </si>
  <si>
    <t xml:space="preserve"> north </t>
  </si>
  <si>
    <t>Ivy Retail</t>
  </si>
  <si>
    <t>USB Hub</t>
  </si>
  <si>
    <t>TXN1062</t>
  </si>
  <si>
    <t>Jade Stores</t>
  </si>
  <si>
    <t>Electric Kettle</t>
  </si>
  <si>
    <t>TXN1063</t>
  </si>
  <si>
    <t>Keystone Traders</t>
  </si>
  <si>
    <t>Desk Lamp</t>
  </si>
  <si>
    <t>TXN1065</t>
  </si>
  <si>
    <t>Lumen Shop</t>
  </si>
  <si>
    <t>USB-C Cable</t>
  </si>
  <si>
    <t>TXN1066</t>
  </si>
  <si>
    <t>Mango Market</t>
  </si>
  <si>
    <t>Fruit Box</t>
  </si>
  <si>
    <t>TXN1067</t>
  </si>
  <si>
    <t>Nectar Store</t>
  </si>
  <si>
    <t>Belt</t>
  </si>
  <si>
    <t>TXN1068</t>
  </si>
  <si>
    <t>Orchid Shop</t>
  </si>
  <si>
    <t>Table Lamp</t>
  </si>
  <si>
    <t>TXN1069</t>
  </si>
  <si>
    <t>Pine Traders</t>
  </si>
  <si>
    <t>Whiteboard</t>
  </si>
  <si>
    <t>TXN1070</t>
  </si>
  <si>
    <t>Quartz Retail</t>
  </si>
  <si>
    <t>External Drive</t>
  </si>
  <si>
    <t>TXN1071</t>
  </si>
  <si>
    <t>Rosewood Mart</t>
  </si>
  <si>
    <t>Pasta Pack</t>
  </si>
  <si>
    <t>TXN1072</t>
  </si>
  <si>
    <t>Stonebridge Shop</t>
  </si>
  <si>
    <t>Wallet</t>
  </si>
  <si>
    <t>TXN1073</t>
  </si>
  <si>
    <t>Timber Store</t>
  </si>
  <si>
    <t>Extension Board</t>
  </si>
  <si>
    <t>TXN1074</t>
  </si>
  <si>
    <t>Umber Distributors</t>
  </si>
  <si>
    <t>Graphics Tablet</t>
  </si>
  <si>
    <t>TXN1075</t>
  </si>
  <si>
    <t>Vale Shop</t>
  </si>
  <si>
    <t>Wireless Mouse</t>
  </si>
  <si>
    <t>TXN1076</t>
  </si>
  <si>
    <t>Willow Retail</t>
  </si>
  <si>
    <t>Juice Pack</t>
  </si>
  <si>
    <t>TXN1077</t>
  </si>
  <si>
    <t>Xylem Traders</t>
  </si>
  <si>
    <t>Storage Rack</t>
  </si>
  <si>
    <t>T11</t>
  </si>
  <si>
    <t>T12</t>
  </si>
  <si>
    <t>T13</t>
  </si>
  <si>
    <t>T14</t>
  </si>
  <si>
    <t>T15</t>
  </si>
  <si>
    <t>T17</t>
  </si>
  <si>
    <t>T18</t>
  </si>
  <si>
    <t>T19</t>
  </si>
  <si>
    <t>T20</t>
  </si>
  <si>
    <t>T21</t>
  </si>
  <si>
    <t>T22</t>
  </si>
  <si>
    <t>Gross sales</t>
  </si>
  <si>
    <t>Discount_Amount</t>
  </si>
  <si>
    <t>Net_Sales</t>
  </si>
  <si>
    <t>Transaction_month</t>
  </si>
  <si>
    <t>Column1</t>
  </si>
  <si>
    <t>T05(Average)</t>
  </si>
  <si>
    <t>T05(Total)</t>
  </si>
  <si>
    <t>T05(Total net sales)</t>
  </si>
  <si>
    <t>Transaction_Flag</t>
  </si>
  <si>
    <t>classification_netsales</t>
  </si>
  <si>
    <t>AND</t>
  </si>
  <si>
    <t>OR</t>
  </si>
  <si>
    <t>iferror</t>
  </si>
  <si>
    <t>SECTIONC-Conditional calculations</t>
  </si>
  <si>
    <t>SECTION D-Lookup and references</t>
  </si>
  <si>
    <t>Sales_id</t>
  </si>
  <si>
    <t>Representative_name</t>
  </si>
  <si>
    <t>Lisa</t>
  </si>
  <si>
    <t>Ira</t>
  </si>
  <si>
    <t>Ram</t>
  </si>
  <si>
    <t>Rahul</t>
  </si>
  <si>
    <t>Priya</t>
  </si>
  <si>
    <t>Pasta pack</t>
  </si>
  <si>
    <t>SECTION E-Text and Date fnction</t>
  </si>
  <si>
    <t>T212</t>
  </si>
  <si>
    <t>Year</t>
  </si>
  <si>
    <t>Month</t>
  </si>
  <si>
    <t>Region_category</t>
  </si>
  <si>
    <t>SECTION F-Data cleaning and validation</t>
  </si>
  <si>
    <t>February</t>
  </si>
  <si>
    <t>March</t>
  </si>
  <si>
    <t>SECTION G - Sorting, filtering, PivotTables and dashboard</t>
  </si>
  <si>
    <t>Row Labels</t>
  </si>
  <si>
    <t>Grand Total</t>
  </si>
  <si>
    <t>Sum of Net_Sales</t>
  </si>
  <si>
    <t>Column Labels</t>
  </si>
  <si>
    <t>id</t>
  </si>
  <si>
    <t>April</t>
  </si>
  <si>
    <t>January</t>
  </si>
  <si>
    <t>May</t>
  </si>
  <si>
    <t>COMPLETED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</si>
</sst>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0.00"/>
  </numFmts>
  <fonts count="4">
    <font>
      <sz val="11"/>
      <name val="Calibri"/>
      <scheme val="minor"/>
    </font>
    <font>
      <b/>
      <sz val="11"/>
      <color rgb="FFFFFFFF"/>
      <name val="Calibri"/>
    </font>
    <font>
      <sz val="11"/>
      <name val="Calibri"/>
    </font>
    <font>
      <b/>
      <sz val="11"/>
      <color rgb="FFFFFFFF"/>
      <name val="Calibri"/>
      <family val="2"/>
    </font>
  </fonts>
  <fills count="3">
    <fill>
      <patternFill patternType="none"/>
    </fill>
    <fill>
      <patternFill patternType="gray125"/>
    </fill>
    <fill>
      <patternFill patternType="solid">
        <fgColor rgb="FFDBE5F1"/>
        <bgColor rgb="FFDBE5F1"/>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2" borderId="5" xfId="0" applyFont="1" applyFill="1" applyBorder="1" applyAlignment="1">
      <alignment vertical="top"/>
    </xf>
    <xf numFmtId="164" fontId="2" fillId="2" borderId="1" xfId="0" applyNumberFormat="1" applyFont="1" applyFill="1" applyBorder="1" applyAlignment="1">
      <alignment vertical="top"/>
    </xf>
    <xf numFmtId="0" fontId="2" fillId="2" borderId="1" xfId="0" applyFont="1" applyFill="1" applyBorder="1" applyAlignment="1">
      <alignment vertical="top"/>
    </xf>
    <xf numFmtId="165" fontId="2" fillId="2" borderId="1" xfId="0" applyNumberFormat="1" applyFont="1" applyFill="1" applyBorder="1" applyAlignment="1">
      <alignment vertical="top"/>
    </xf>
    <xf numFmtId="9" fontId="2" fillId="2" borderId="1" xfId="0" applyNumberFormat="1" applyFont="1" applyFill="1" applyBorder="1" applyAlignment="1">
      <alignment vertical="top"/>
    </xf>
    <xf numFmtId="0" fontId="2" fillId="2" borderId="6" xfId="0" applyFont="1" applyFill="1" applyBorder="1" applyAlignment="1">
      <alignment vertical="top"/>
    </xf>
    <xf numFmtId="0" fontId="2" fillId="0" borderId="5" xfId="0"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vertical="top"/>
    </xf>
    <xf numFmtId="165" fontId="2" fillId="0" borderId="1" xfId="0" applyNumberFormat="1" applyFont="1" applyBorder="1" applyAlignment="1">
      <alignment vertical="top"/>
    </xf>
    <xf numFmtId="9" fontId="2" fillId="0" borderId="1" xfId="0" applyNumberFormat="1" applyFont="1" applyBorder="1" applyAlignment="1">
      <alignment vertical="top"/>
    </xf>
    <xf numFmtId="0" fontId="2" fillId="2" borderId="6" xfId="0" quotePrefix="1" applyFont="1" applyFill="1" applyBorder="1" applyAlignment="1">
      <alignment vertical="top"/>
    </xf>
    <xf numFmtId="0" fontId="2" fillId="2" borderId="3" xfId="0" applyFont="1" applyFill="1" applyBorder="1" applyAlignment="1">
      <alignment vertical="top"/>
    </xf>
    <xf numFmtId="0" fontId="0" fillId="0" borderId="0" xfId="0" pivotButton="1"/>
    <xf numFmtId="0" fontId="0" fillId="0" borderId="0" xfId="0" applyAlignment="1">
      <alignment horizontal="left"/>
    </xf>
    <xf numFmtId="0" fontId="3" fillId="0" borderId="3" xfId="0" applyFont="1" applyBorder="1" applyAlignment="1">
      <alignment vertical="center" wrapText="1"/>
    </xf>
    <xf numFmtId="0" fontId="0" fillId="0" borderId="0" xfId="0" applyNumberFormat="1"/>
  </cellXfs>
  <cellStyles count="1">
    <cellStyle name="Normal" xfId="0" builtinId="0"/>
  </cellStyles>
  <dxfs count="1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3" formatCode="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5" formatCode="\₹#,##0.0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4" formatCode="dd\-mmm\-yyyy"/>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rgb="FFFFFFFF"/>
        <name val="Calibri"/>
        <scheme val="none"/>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3" formatCode="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5" formatCode="\₹#,##0.0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4" formatCode="dd\-mmm\-yyyy"/>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rgb="FFFFFFFF"/>
        <name val="Calibri"/>
        <scheme val="none"/>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3" formatCode="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5" formatCode="\₹#,##0.0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4" formatCode="dd\-mmm\-yyyy"/>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border>
        <bottom style="thin">
          <color indexed="64"/>
        </bottom>
      </border>
    </dxf>
    <dxf>
      <font>
        <b/>
        <i val="0"/>
        <strike val="0"/>
        <condense val="0"/>
        <extend val="0"/>
        <outline val="0"/>
        <shadow val="0"/>
        <u val="none"/>
        <vertAlign val="baseline"/>
        <sz val="11"/>
        <color rgb="FFFFFFFF"/>
        <name val="Calibri"/>
        <scheme val="none"/>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9" tint="0.39994506668294322"/>
        </patternFill>
      </fill>
    </dxf>
    <dxf>
      <fill>
        <patternFill>
          <bgColor rgb="FFFFFF00"/>
        </patternFill>
      </fill>
    </dxf>
    <dxf>
      <fill>
        <patternFill>
          <bgColor theme="2" tint="-0.89996032593768116"/>
        </patternFill>
      </fill>
    </dxf>
    <dxf>
      <fill>
        <patternFill>
          <bgColor theme="1" tint="4.9989318521683403E-2"/>
        </patternFill>
      </fill>
    </dxf>
    <dxf>
      <fill>
        <patternFill>
          <fgColor theme="9"/>
          <bgColor theme="1"/>
        </patternFill>
      </fill>
    </dxf>
    <dxf>
      <fill>
        <patternFill>
          <bgColor theme="1"/>
        </patternFill>
      </fill>
    </dxf>
    <dxf>
      <fill>
        <patternFill>
          <bgColor theme="1"/>
        </patternFill>
      </fill>
    </dxf>
  </dxfs>
  <tableStyles count="7" defaultTableStyle="TableStyleMedium2" defaultPivotStyle="PivotStyleLight16">
    <tableStyle name="black" pivot="0" table="0" count="1" xr9:uid="{999D0C17-D22A-4828-81B6-8D70380BC3EC}">
      <tableStyleElement type="wholeTable" dxfId="113"/>
    </tableStyle>
    <tableStyle name="Slicer Style 1" pivot="0" table="0" count="1" xr9:uid="{A615E2AA-A1AC-43DA-827B-B50D386A2346}">
      <tableStyleElement type="wholeTable" dxfId="112"/>
    </tableStyle>
    <tableStyle name="Slicer Style 2" pivot="0" table="0" count="1" xr9:uid="{C0175DAA-233B-4A15-9693-607FEF03F218}">
      <tableStyleElement type="wholeTable" dxfId="111"/>
    </tableStyle>
    <tableStyle name="Slicer Style 3" pivot="0" table="0" count="2" xr9:uid="{52F98FB3-4C29-48AB-B54B-5A0176011B41}">
      <tableStyleElement type="wholeTable" dxfId="110"/>
    </tableStyle>
    <tableStyle name="Slicer Style 4" pivot="0" table="0" count="10" xr9:uid="{E1467ADD-F23A-41C0-9535-D3611F6CFA3F}">
      <tableStyleElement type="wholeTable" dxfId="109"/>
      <tableStyleElement type="headerRow" dxfId="108"/>
    </tableStyle>
    <tableStyle name="Slicer Style 5" pivot="0" table="0" count="0" xr9:uid="{7BE235C8-5DBD-4F4B-B3DE-4A8E3845E326}"/>
    <tableStyle name="Slicer Style 6" pivot="0" table="0" count="2" xr9:uid="{037B0A96-9C8C-4A94-95AF-FBF2423274F3}">
      <tableStyleElement type="wholeTable" dxfId="107"/>
    </tableStyle>
  </tableStyles>
  <extLst>
    <ext xmlns:x14="http://schemas.microsoft.com/office/spreadsheetml/2009/9/main" uri="{46F421CA-312F-682f-3DD2-61675219B42D}">
      <x14:dxfs count="1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black"/>
        <x14:slicerStyle name="Slicer Style 1"/>
        <x14:slicerStyle name="Slicer Style 2"/>
        <x14:slicerStyle name="Slicer Style 3">
          <x14:slicerStyleElements>
            <x14:slicerStyleElement type="selectedItemWithData" dxfId="9"/>
          </x14:slicerStyleElements>
        </x14:slicerStyle>
        <x14:slicerStyle name="Slicer Style 4">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28" Type="http://schemas.openxmlformats.org/officeDocument/2006/relationships/customXml" Target="../customXml/item5.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microsoft.com/office/2017/10/relationships/person" Target="persons/person.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[Financial_Transactions_Assignment2.xlsx]Pivot!PivotTable11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Total</c:v>
                </c:pt>
              </c:strCache>
            </c:strRef>
          </c:tx>
          <c:spPr>
            <a:solidFill>
              <a:schemeClr val="accent6"/>
            </a:solidFill>
            <a:ln>
              <a:noFill/>
            </a:ln>
            <a:effectLst/>
            <a:sp3d/>
          </c:spPr>
          <c:invertIfNegative val="0"/>
          <c:cat>
            <c:strRef>
              <c:f>Pivot!$A$4:$A$14</c:f>
              <c:strCache>
                <c:ptCount val="10"/>
                <c:pt idx="0">
                  <c:v>Camera</c:v>
                </c:pt>
                <c:pt idx="1">
                  <c:v>Laptop</c:v>
                </c:pt>
                <c:pt idx="2">
                  <c:v>Monitor</c:v>
                </c:pt>
                <c:pt idx="3">
                  <c:v>Printer</c:v>
                </c:pt>
                <c:pt idx="4">
                  <c:v>Projector</c:v>
                </c:pt>
                <c:pt idx="5">
                  <c:v>Refrigerator</c:v>
                </c:pt>
                <c:pt idx="6">
                  <c:v>Smartphone</c:v>
                </c:pt>
                <c:pt idx="7">
                  <c:v>Smartwatch</c:v>
                </c:pt>
                <c:pt idx="8">
                  <c:v>Tablet</c:v>
                </c:pt>
                <c:pt idx="9">
                  <c:v>Washing Machine</c:v>
                </c:pt>
              </c:strCache>
            </c:strRef>
          </c:cat>
          <c:val>
            <c:numRef>
              <c:f>Pivot!$B$4:$B$14</c:f>
              <c:numCache>
                <c:formatCode>General</c:formatCode>
                <c:ptCount val="10"/>
                <c:pt idx="0">
                  <c:v>78120</c:v>
                </c:pt>
                <c:pt idx="1">
                  <c:v>95680</c:v>
                </c:pt>
                <c:pt idx="2">
                  <c:v>41216</c:v>
                </c:pt>
                <c:pt idx="3">
                  <c:v>66600</c:v>
                </c:pt>
                <c:pt idx="4">
                  <c:v>85560</c:v>
                </c:pt>
                <c:pt idx="5">
                  <c:v>72380</c:v>
                </c:pt>
                <c:pt idx="6">
                  <c:v>133950</c:v>
                </c:pt>
                <c:pt idx="7">
                  <c:v>40320</c:v>
                </c:pt>
                <c:pt idx="8">
                  <c:v>77440</c:v>
                </c:pt>
                <c:pt idx="9">
                  <c:v>57960</c:v>
                </c:pt>
              </c:numCache>
            </c:numRef>
          </c:val>
          <c:extLst>
            <c:ext xmlns:c16="http://schemas.microsoft.com/office/drawing/2014/chart" uri="{C3380CC4-5D6E-409C-BE32-E72D297353CC}">
              <c16:uniqueId val="{00000003-CCB4-45FE-BF7D-727D07CBC124}"/>
            </c:ext>
          </c:extLst>
        </c:ser>
        <c:dLbls>
          <c:showLegendKey val="0"/>
          <c:showVal val="0"/>
          <c:showCatName val="0"/>
          <c:showSerName val="0"/>
          <c:showPercent val="0"/>
          <c:showBubbleSize val="0"/>
        </c:dLbls>
        <c:gapWidth val="150"/>
        <c:shape val="box"/>
        <c:axId val="2024267648"/>
        <c:axId val="1245358896"/>
        <c:axId val="0"/>
      </c:bar3DChart>
      <c:catAx>
        <c:axId val="202426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58896"/>
        <c:crosses val="autoZero"/>
        <c:auto val="1"/>
        <c:lblAlgn val="ctr"/>
        <c:lblOffset val="100"/>
        <c:noMultiLvlLbl val="0"/>
      </c:catAx>
      <c:valAx>
        <c:axId val="124535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6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[Financial_Transactions_Assignment2.xlsx]Pivot!PivotTable13</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Pivot!$B$25:$B$26</c:f>
              <c:strCache>
                <c:ptCount val="1"/>
                <c:pt idx="0">
                  <c:v>Cancelled</c:v>
                </c:pt>
              </c:strCache>
            </c:strRef>
          </c:tx>
          <c:spPr>
            <a:ln w="28575" cap="rnd">
              <a:solidFill>
                <a:schemeClr val="accent1"/>
              </a:solidFill>
              <a:round/>
            </a:ln>
            <a:effectLst/>
          </c:spPr>
          <c:marker>
            <c:symbol val="none"/>
          </c:marker>
          <c:cat>
            <c:strRef>
              <c:f>Pivot!$A$27:$A$31</c:f>
              <c:strCache>
                <c:ptCount val="4"/>
                <c:pt idx="0">
                  <c:v>East</c:v>
                </c:pt>
                <c:pt idx="1">
                  <c:v>North</c:v>
                </c:pt>
                <c:pt idx="2">
                  <c:v>South</c:v>
                </c:pt>
                <c:pt idx="3">
                  <c:v>West</c:v>
                </c:pt>
              </c:strCache>
            </c:strRef>
          </c:cat>
          <c:val>
            <c:numRef>
              <c:f>Pivot!$B$27:$B$31</c:f>
              <c:numCache>
                <c:formatCode>General</c:formatCode>
                <c:ptCount val="4"/>
                <c:pt idx="0">
                  <c:v>0</c:v>
                </c:pt>
                <c:pt idx="3">
                  <c:v>12960</c:v>
                </c:pt>
              </c:numCache>
            </c:numRef>
          </c:val>
          <c:smooth val="0"/>
          <c:extLst>
            <c:ext xmlns:c16="http://schemas.microsoft.com/office/drawing/2014/chart" uri="{C3380CC4-5D6E-409C-BE32-E72D297353CC}">
              <c16:uniqueId val="{00000000-4EB1-4209-9928-5AF0ED392A84}"/>
            </c:ext>
          </c:extLst>
        </c:ser>
        <c:ser>
          <c:idx val="1"/>
          <c:order val="1"/>
          <c:tx>
            <c:strRef>
              <c:f>Pivot!$C$25:$C$26</c:f>
              <c:strCache>
                <c:ptCount val="1"/>
                <c:pt idx="0">
                  <c:v>Completed</c:v>
                </c:pt>
              </c:strCache>
            </c:strRef>
          </c:tx>
          <c:spPr>
            <a:ln w="28575" cap="rnd">
              <a:solidFill>
                <a:schemeClr val="accent2"/>
              </a:solidFill>
              <a:round/>
            </a:ln>
            <a:effectLst/>
          </c:spPr>
          <c:marker>
            <c:symbol val="none"/>
          </c:marker>
          <c:cat>
            <c:strRef>
              <c:f>Pivot!$A$27:$A$31</c:f>
              <c:strCache>
                <c:ptCount val="4"/>
                <c:pt idx="0">
                  <c:v>East</c:v>
                </c:pt>
                <c:pt idx="1">
                  <c:v>North</c:v>
                </c:pt>
                <c:pt idx="2">
                  <c:v>South</c:v>
                </c:pt>
                <c:pt idx="3">
                  <c:v>West</c:v>
                </c:pt>
              </c:strCache>
            </c:strRef>
          </c:cat>
          <c:val>
            <c:numRef>
              <c:f>Pivot!$C$27:$C$31</c:f>
              <c:numCache>
                <c:formatCode>General</c:formatCode>
                <c:ptCount val="4"/>
                <c:pt idx="0">
                  <c:v>363756</c:v>
                </c:pt>
                <c:pt idx="1">
                  <c:v>504715.9</c:v>
                </c:pt>
                <c:pt idx="2">
                  <c:v>128509.4</c:v>
                </c:pt>
                <c:pt idx="3">
                  <c:v>458650.5</c:v>
                </c:pt>
              </c:numCache>
            </c:numRef>
          </c:val>
          <c:smooth val="0"/>
          <c:extLst>
            <c:ext xmlns:c16="http://schemas.microsoft.com/office/drawing/2014/chart" uri="{C3380CC4-5D6E-409C-BE32-E72D297353CC}">
              <c16:uniqueId val="{00000005-4EB1-4209-9928-5AF0ED392A84}"/>
            </c:ext>
          </c:extLst>
        </c:ser>
        <c:ser>
          <c:idx val="2"/>
          <c:order val="2"/>
          <c:tx>
            <c:strRef>
              <c:f>Pivot!$D$25:$D$26</c:f>
              <c:strCache>
                <c:ptCount val="1"/>
                <c:pt idx="0">
                  <c:v>Pending</c:v>
                </c:pt>
              </c:strCache>
            </c:strRef>
          </c:tx>
          <c:spPr>
            <a:ln w="28575" cap="rnd">
              <a:solidFill>
                <a:schemeClr val="accent3"/>
              </a:solidFill>
              <a:round/>
            </a:ln>
            <a:effectLst/>
          </c:spPr>
          <c:marker>
            <c:symbol val="none"/>
          </c:marker>
          <c:cat>
            <c:strRef>
              <c:f>Pivot!$A$27:$A$31</c:f>
              <c:strCache>
                <c:ptCount val="4"/>
                <c:pt idx="0">
                  <c:v>East</c:v>
                </c:pt>
                <c:pt idx="1">
                  <c:v>North</c:v>
                </c:pt>
                <c:pt idx="2">
                  <c:v>South</c:v>
                </c:pt>
                <c:pt idx="3">
                  <c:v>West</c:v>
                </c:pt>
              </c:strCache>
            </c:strRef>
          </c:cat>
          <c:val>
            <c:numRef>
              <c:f>Pivot!$D$27:$D$31</c:f>
              <c:numCache>
                <c:formatCode>General</c:formatCode>
                <c:ptCount val="4"/>
                <c:pt idx="2">
                  <c:v>45560</c:v>
                </c:pt>
                <c:pt idx="3">
                  <c:v>44592</c:v>
                </c:pt>
              </c:numCache>
            </c:numRef>
          </c:val>
          <c:smooth val="0"/>
          <c:extLst>
            <c:ext xmlns:c16="http://schemas.microsoft.com/office/drawing/2014/chart" uri="{C3380CC4-5D6E-409C-BE32-E72D297353CC}">
              <c16:uniqueId val="{00000008-4EB1-4209-9928-5AF0ED392A84}"/>
            </c:ext>
          </c:extLst>
        </c:ser>
        <c:ser>
          <c:idx val="3"/>
          <c:order val="3"/>
          <c:tx>
            <c:strRef>
              <c:f>Pivot!$E$25:$E$26</c:f>
              <c:strCache>
                <c:ptCount val="1"/>
                <c:pt idx="0">
                  <c:v>Refunded</c:v>
                </c:pt>
              </c:strCache>
            </c:strRef>
          </c:tx>
          <c:spPr>
            <a:ln w="28575" cap="rnd">
              <a:solidFill>
                <a:schemeClr val="accent4"/>
              </a:solidFill>
              <a:round/>
            </a:ln>
            <a:effectLst/>
          </c:spPr>
          <c:marker>
            <c:symbol val="none"/>
          </c:marker>
          <c:cat>
            <c:strRef>
              <c:f>Pivot!$A$27:$A$31</c:f>
              <c:strCache>
                <c:ptCount val="4"/>
                <c:pt idx="0">
                  <c:v>East</c:v>
                </c:pt>
                <c:pt idx="1">
                  <c:v>North</c:v>
                </c:pt>
                <c:pt idx="2">
                  <c:v>South</c:v>
                </c:pt>
                <c:pt idx="3">
                  <c:v>West</c:v>
                </c:pt>
              </c:strCache>
            </c:strRef>
          </c:cat>
          <c:val>
            <c:numRef>
              <c:f>Pivot!$E$27:$E$31</c:f>
              <c:numCache>
                <c:formatCode>General</c:formatCode>
                <c:ptCount val="4"/>
                <c:pt idx="0">
                  <c:v>28560</c:v>
                </c:pt>
                <c:pt idx="2">
                  <c:v>15360</c:v>
                </c:pt>
              </c:numCache>
            </c:numRef>
          </c:val>
          <c:smooth val="0"/>
          <c:extLst>
            <c:ext xmlns:c16="http://schemas.microsoft.com/office/drawing/2014/chart" uri="{C3380CC4-5D6E-409C-BE32-E72D297353CC}">
              <c16:uniqueId val="{00000009-4EB1-4209-9928-5AF0ED392A84}"/>
            </c:ext>
          </c:extLst>
        </c:ser>
        <c:dLbls>
          <c:showLegendKey val="0"/>
          <c:showVal val="0"/>
          <c:showCatName val="0"/>
          <c:showSerName val="0"/>
          <c:showPercent val="0"/>
          <c:showBubbleSize val="0"/>
        </c:dLbls>
        <c:smooth val="0"/>
        <c:axId val="1652127088"/>
        <c:axId val="1624003247"/>
      </c:lineChart>
      <c:catAx>
        <c:axId val="165212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03247"/>
        <c:crosses val="autoZero"/>
        <c:auto val="1"/>
        <c:lblAlgn val="ctr"/>
        <c:lblOffset val="100"/>
        <c:noMultiLvlLbl val="0"/>
      </c:catAx>
      <c:valAx>
        <c:axId val="162400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2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[Financial_Transactions_Assignment2.xlsx]T34!PivotTable14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'T34'!$B$3</c:f>
              <c:strCache>
                <c:ptCount val="1"/>
                <c:pt idx="0">
                  <c:v>Total</c:v>
                </c:pt>
              </c:strCache>
            </c:strRef>
          </c:tx>
          <c:spPr>
            <a:solidFill>
              <a:schemeClr val="accent6"/>
            </a:solidFill>
            <a:ln>
              <a:noFill/>
            </a:ln>
            <a:effectLst/>
            <a:sp3d/>
          </c:spPr>
          <c:invertIfNegative val="0"/>
          <c:cat>
            <c:strRef>
              <c:f>'T34'!$A$4:$A$9</c:f>
              <c:strCache>
                <c:ptCount val="5"/>
                <c:pt idx="0">
                  <c:v>April</c:v>
                </c:pt>
                <c:pt idx="1">
                  <c:v>February</c:v>
                </c:pt>
                <c:pt idx="2">
                  <c:v>January</c:v>
                </c:pt>
                <c:pt idx="3">
                  <c:v>March</c:v>
                </c:pt>
                <c:pt idx="4">
                  <c:v>May</c:v>
                </c:pt>
              </c:strCache>
            </c:strRef>
          </c:cat>
          <c:val>
            <c:numRef>
              <c:f>'T34'!$B$4:$B$9</c:f>
              <c:numCache>
                <c:formatCode>General</c:formatCode>
                <c:ptCount val="5"/>
                <c:pt idx="0">
                  <c:v>248214.9</c:v>
                </c:pt>
                <c:pt idx="1">
                  <c:v>243171.5</c:v>
                </c:pt>
                <c:pt idx="2">
                  <c:v>529893.4</c:v>
                </c:pt>
                <c:pt idx="3">
                  <c:v>463243.2</c:v>
                </c:pt>
                <c:pt idx="4">
                  <c:v>118140.8</c:v>
                </c:pt>
              </c:numCache>
            </c:numRef>
          </c:val>
          <c:extLst>
            <c:ext xmlns:c16="http://schemas.microsoft.com/office/drawing/2014/chart" uri="{C3380CC4-5D6E-409C-BE32-E72D297353CC}">
              <c16:uniqueId val="{00000000-A314-4B2D-8A69-D85A84B2F297}"/>
            </c:ext>
          </c:extLst>
        </c:ser>
        <c:dLbls>
          <c:showLegendKey val="0"/>
          <c:showVal val="0"/>
          <c:showCatName val="0"/>
          <c:showSerName val="0"/>
          <c:showPercent val="0"/>
          <c:showBubbleSize val="0"/>
        </c:dLbls>
        <c:gapWidth val="150"/>
        <c:shape val="box"/>
        <c:axId val="2003535952"/>
        <c:axId val="2026823760"/>
        <c:axId val="0"/>
      </c:bar3DChart>
      <c:catAx>
        <c:axId val="200353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823760"/>
        <c:crosses val="autoZero"/>
        <c:auto val="1"/>
        <c:lblAlgn val="ctr"/>
        <c:lblOffset val="100"/>
        <c:noMultiLvlLbl val="0"/>
      </c:catAx>
      <c:valAx>
        <c:axId val="202682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3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[Financial_Transactions_Assignment2.xlsx]Pivot!PivotTable11</c:name>
    <c:fmtId val="11"/>
  </c:pivotSource>
  <c:chart>
    <c:title>
      <c:tx>
        <c:rich>
          <a:bodyPr/>
          <a:lstStyle/>
          <a:p>
            <a:pPr>
              <a:defRPr/>
            </a:pPr>
            <a:r>
              <a:rPr lang="en-IN">
                <a:solidFill>
                  <a:srgbClr val="FFFF00"/>
                </a:solidFill>
              </a:rPr>
              <a:t>PRODUCT SALES PERFORMANCE</a:t>
            </a:r>
          </a:p>
        </c:rich>
      </c:tx>
      <c:layout>
        <c:manualLayout>
          <c:xMode val="edge"/>
          <c:yMode val="edge"/>
          <c:x val="0.30910600416289263"/>
          <c:y val="6.3666740452624146E-2"/>
        </c:manualLayout>
      </c:layout>
      <c:overlay val="0"/>
    </c:title>
    <c:autoTitleDeleted val="0"/>
    <c:pivotFmts>
      <c:pivotFmt>
        <c:idx val="0"/>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Pivot!$B$3</c:f>
              <c:strCache>
                <c:ptCount val="1"/>
                <c:pt idx="0">
                  <c:v>Total</c:v>
                </c:pt>
              </c:strCache>
            </c:strRef>
          </c:tx>
          <c:invertIfNegative val="0"/>
          <c:cat>
            <c:strRef>
              <c:f>Pivot!$A$4:$A$14</c:f>
              <c:strCache>
                <c:ptCount val="10"/>
                <c:pt idx="0">
                  <c:v>Camera</c:v>
                </c:pt>
                <c:pt idx="1">
                  <c:v>Laptop</c:v>
                </c:pt>
                <c:pt idx="2">
                  <c:v>Monitor</c:v>
                </c:pt>
                <c:pt idx="3">
                  <c:v>Printer</c:v>
                </c:pt>
                <c:pt idx="4">
                  <c:v>Projector</c:v>
                </c:pt>
                <c:pt idx="5">
                  <c:v>Refrigerator</c:v>
                </c:pt>
                <c:pt idx="6">
                  <c:v>Smartphone</c:v>
                </c:pt>
                <c:pt idx="7">
                  <c:v>Smartwatch</c:v>
                </c:pt>
                <c:pt idx="8">
                  <c:v>Tablet</c:v>
                </c:pt>
                <c:pt idx="9">
                  <c:v>Washing Machine</c:v>
                </c:pt>
              </c:strCache>
            </c:strRef>
          </c:cat>
          <c:val>
            <c:numRef>
              <c:f>Pivot!$B$4:$B$14</c:f>
              <c:numCache>
                <c:formatCode>General</c:formatCode>
                <c:ptCount val="10"/>
                <c:pt idx="0">
                  <c:v>78120</c:v>
                </c:pt>
                <c:pt idx="1">
                  <c:v>95680</c:v>
                </c:pt>
                <c:pt idx="2">
                  <c:v>41216</c:v>
                </c:pt>
                <c:pt idx="3">
                  <c:v>66600</c:v>
                </c:pt>
                <c:pt idx="4">
                  <c:v>85560</c:v>
                </c:pt>
                <c:pt idx="5">
                  <c:v>72380</c:v>
                </c:pt>
                <c:pt idx="6">
                  <c:v>133950</c:v>
                </c:pt>
                <c:pt idx="7">
                  <c:v>40320</c:v>
                </c:pt>
                <c:pt idx="8">
                  <c:v>77440</c:v>
                </c:pt>
                <c:pt idx="9">
                  <c:v>57960</c:v>
                </c:pt>
              </c:numCache>
            </c:numRef>
          </c:val>
          <c:extLst>
            <c:ext xmlns:c16="http://schemas.microsoft.com/office/drawing/2014/chart" uri="{C3380CC4-5D6E-409C-BE32-E72D297353CC}">
              <c16:uniqueId val="{00000003-8921-4E6E-861D-7E21724A30BF}"/>
            </c:ext>
          </c:extLst>
        </c:ser>
        <c:dLbls>
          <c:showLegendKey val="0"/>
          <c:showVal val="0"/>
          <c:showCatName val="0"/>
          <c:showSerName val="0"/>
          <c:showPercent val="0"/>
          <c:showBubbleSize val="0"/>
        </c:dLbls>
        <c:gapWidth val="150"/>
        <c:shape val="box"/>
        <c:axId val="2024267648"/>
        <c:axId val="1245358896"/>
        <c:axId val="0"/>
      </c:bar3DChart>
      <c:catAx>
        <c:axId val="2024267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58896"/>
        <c:crosses val="autoZero"/>
        <c:auto val="1"/>
        <c:lblAlgn val="ctr"/>
        <c:lblOffset val="100"/>
        <c:noMultiLvlLbl val="0"/>
      </c:catAx>
      <c:valAx>
        <c:axId val="124535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6764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[Financial_Transactions_Assignment2.xlsx]T34!PivotTable14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FF00"/>
                </a:solidFill>
              </a:rPr>
              <a:t>MONTHLY</a:t>
            </a:r>
            <a:r>
              <a:rPr lang="en-US" sz="1800" b="1" baseline="0">
                <a:solidFill>
                  <a:srgbClr val="FFFF00"/>
                </a:solidFill>
              </a:rPr>
              <a:t> SALES PERFORMANCE</a:t>
            </a:r>
            <a:endParaRPr lang="en-US" sz="1800" b="1">
              <a:solidFill>
                <a:srgbClr val="FFFF00"/>
              </a:solidFill>
            </a:endParaRPr>
          </a:p>
        </c:rich>
      </c:tx>
      <c:layout>
        <c:manualLayout>
          <c:xMode val="edge"/>
          <c:yMode val="edge"/>
          <c:x val="0.34740791421690848"/>
          <c:y val="8.1992956008704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99293802422844"/>
          <c:y val="0.31133948000089734"/>
          <c:w val="0.76471033939790112"/>
          <c:h val="0.63681360342777671"/>
        </c:manualLayout>
      </c:layout>
      <c:bar3DChart>
        <c:barDir val="col"/>
        <c:grouping val="stacked"/>
        <c:varyColors val="0"/>
        <c:ser>
          <c:idx val="0"/>
          <c:order val="0"/>
          <c:tx>
            <c:strRef>
              <c:f>'T34'!$B$3</c:f>
              <c:strCache>
                <c:ptCount val="1"/>
                <c:pt idx="0">
                  <c:v>Total</c:v>
                </c:pt>
              </c:strCache>
            </c:strRef>
          </c:tx>
          <c:spPr>
            <a:solidFill>
              <a:schemeClr val="accent6"/>
            </a:solidFill>
            <a:ln>
              <a:noFill/>
            </a:ln>
            <a:effectLst/>
            <a:sp3d/>
          </c:spPr>
          <c:invertIfNegative val="0"/>
          <c:cat>
            <c:strRef>
              <c:f>'T34'!$A$4:$A$9</c:f>
              <c:strCache>
                <c:ptCount val="5"/>
                <c:pt idx="0">
                  <c:v>April</c:v>
                </c:pt>
                <c:pt idx="1">
                  <c:v>February</c:v>
                </c:pt>
                <c:pt idx="2">
                  <c:v>January</c:v>
                </c:pt>
                <c:pt idx="3">
                  <c:v>March</c:v>
                </c:pt>
                <c:pt idx="4">
                  <c:v>May</c:v>
                </c:pt>
              </c:strCache>
            </c:strRef>
          </c:cat>
          <c:val>
            <c:numRef>
              <c:f>'T34'!$B$4:$B$9</c:f>
              <c:numCache>
                <c:formatCode>General</c:formatCode>
                <c:ptCount val="5"/>
                <c:pt idx="0">
                  <c:v>248214.9</c:v>
                </c:pt>
                <c:pt idx="1">
                  <c:v>243171.5</c:v>
                </c:pt>
                <c:pt idx="2">
                  <c:v>529893.4</c:v>
                </c:pt>
                <c:pt idx="3">
                  <c:v>463243.2</c:v>
                </c:pt>
                <c:pt idx="4">
                  <c:v>118140.8</c:v>
                </c:pt>
              </c:numCache>
            </c:numRef>
          </c:val>
          <c:extLst>
            <c:ext xmlns:c16="http://schemas.microsoft.com/office/drawing/2014/chart" uri="{C3380CC4-5D6E-409C-BE32-E72D297353CC}">
              <c16:uniqueId val="{00000000-AF98-4435-A7A4-EF07736E776B}"/>
            </c:ext>
          </c:extLst>
        </c:ser>
        <c:dLbls>
          <c:showLegendKey val="0"/>
          <c:showVal val="0"/>
          <c:showCatName val="0"/>
          <c:showSerName val="0"/>
          <c:showPercent val="0"/>
          <c:showBubbleSize val="0"/>
        </c:dLbls>
        <c:gapWidth val="150"/>
        <c:shape val="box"/>
        <c:axId val="2003535952"/>
        <c:axId val="2026823760"/>
        <c:axId val="0"/>
      </c:bar3DChart>
      <c:catAx>
        <c:axId val="200353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823760"/>
        <c:crosses val="autoZero"/>
        <c:auto val="1"/>
        <c:lblAlgn val="ctr"/>
        <c:lblOffset val="100"/>
        <c:noMultiLvlLbl val="0"/>
      </c:catAx>
      <c:valAx>
        <c:axId val="202682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3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[Financial_Transactions_Assignment2.xlsx]Pivot!PivotTable13</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4434358744499"/>
          <c:y val="0.17532004671664841"/>
          <c:w val="0.71839950581669532"/>
          <c:h val="0.74188156374826952"/>
        </c:manualLayout>
      </c:layout>
      <c:lineChart>
        <c:grouping val="standard"/>
        <c:varyColors val="0"/>
        <c:ser>
          <c:idx val="0"/>
          <c:order val="0"/>
          <c:tx>
            <c:strRef>
              <c:f>Pivot!$B$25:$B$26</c:f>
              <c:strCache>
                <c:ptCount val="1"/>
                <c:pt idx="0">
                  <c:v>Cancelled</c:v>
                </c:pt>
              </c:strCache>
            </c:strRef>
          </c:tx>
          <c:spPr>
            <a:ln w="28575" cap="rnd">
              <a:solidFill>
                <a:schemeClr val="accent1"/>
              </a:solidFill>
              <a:round/>
            </a:ln>
            <a:effectLst/>
          </c:spPr>
          <c:marker>
            <c:symbol val="none"/>
          </c:marker>
          <c:cat>
            <c:strRef>
              <c:f>Pivot!$A$27:$A$31</c:f>
              <c:strCache>
                <c:ptCount val="4"/>
                <c:pt idx="0">
                  <c:v>East</c:v>
                </c:pt>
                <c:pt idx="1">
                  <c:v>North</c:v>
                </c:pt>
                <c:pt idx="2">
                  <c:v>South</c:v>
                </c:pt>
                <c:pt idx="3">
                  <c:v>West</c:v>
                </c:pt>
              </c:strCache>
            </c:strRef>
          </c:cat>
          <c:val>
            <c:numRef>
              <c:f>Pivot!$B$27:$B$31</c:f>
              <c:numCache>
                <c:formatCode>General</c:formatCode>
                <c:ptCount val="4"/>
                <c:pt idx="0">
                  <c:v>0</c:v>
                </c:pt>
                <c:pt idx="3">
                  <c:v>12960</c:v>
                </c:pt>
              </c:numCache>
            </c:numRef>
          </c:val>
          <c:smooth val="0"/>
          <c:extLst>
            <c:ext xmlns:c16="http://schemas.microsoft.com/office/drawing/2014/chart" uri="{C3380CC4-5D6E-409C-BE32-E72D297353CC}">
              <c16:uniqueId val="{00000000-2545-44E9-9432-CBAE5B7BFE5F}"/>
            </c:ext>
          </c:extLst>
        </c:ser>
        <c:ser>
          <c:idx val="1"/>
          <c:order val="1"/>
          <c:tx>
            <c:strRef>
              <c:f>Pivot!$C$25:$C$26</c:f>
              <c:strCache>
                <c:ptCount val="1"/>
                <c:pt idx="0">
                  <c:v>Completed</c:v>
                </c:pt>
              </c:strCache>
            </c:strRef>
          </c:tx>
          <c:spPr>
            <a:ln w="28575" cap="rnd">
              <a:solidFill>
                <a:schemeClr val="accent2"/>
              </a:solidFill>
              <a:round/>
            </a:ln>
            <a:effectLst/>
          </c:spPr>
          <c:marker>
            <c:symbol val="none"/>
          </c:marker>
          <c:cat>
            <c:strRef>
              <c:f>Pivot!$A$27:$A$31</c:f>
              <c:strCache>
                <c:ptCount val="4"/>
                <c:pt idx="0">
                  <c:v>East</c:v>
                </c:pt>
                <c:pt idx="1">
                  <c:v>North</c:v>
                </c:pt>
                <c:pt idx="2">
                  <c:v>South</c:v>
                </c:pt>
                <c:pt idx="3">
                  <c:v>West</c:v>
                </c:pt>
              </c:strCache>
            </c:strRef>
          </c:cat>
          <c:val>
            <c:numRef>
              <c:f>Pivot!$C$27:$C$31</c:f>
              <c:numCache>
                <c:formatCode>General</c:formatCode>
                <c:ptCount val="4"/>
                <c:pt idx="0">
                  <c:v>363756</c:v>
                </c:pt>
                <c:pt idx="1">
                  <c:v>504715.9</c:v>
                </c:pt>
                <c:pt idx="2">
                  <c:v>128509.4</c:v>
                </c:pt>
                <c:pt idx="3">
                  <c:v>458650.5</c:v>
                </c:pt>
              </c:numCache>
            </c:numRef>
          </c:val>
          <c:smooth val="0"/>
          <c:extLst>
            <c:ext xmlns:c16="http://schemas.microsoft.com/office/drawing/2014/chart" uri="{C3380CC4-5D6E-409C-BE32-E72D297353CC}">
              <c16:uniqueId val="{00000001-2545-44E9-9432-CBAE5B7BFE5F}"/>
            </c:ext>
          </c:extLst>
        </c:ser>
        <c:ser>
          <c:idx val="2"/>
          <c:order val="2"/>
          <c:tx>
            <c:strRef>
              <c:f>Pivot!$D$25:$D$26</c:f>
              <c:strCache>
                <c:ptCount val="1"/>
                <c:pt idx="0">
                  <c:v>Pending</c:v>
                </c:pt>
              </c:strCache>
            </c:strRef>
          </c:tx>
          <c:spPr>
            <a:ln w="28575" cap="rnd">
              <a:solidFill>
                <a:schemeClr val="accent3"/>
              </a:solidFill>
              <a:round/>
            </a:ln>
            <a:effectLst/>
          </c:spPr>
          <c:marker>
            <c:symbol val="none"/>
          </c:marker>
          <c:cat>
            <c:strRef>
              <c:f>Pivot!$A$27:$A$31</c:f>
              <c:strCache>
                <c:ptCount val="4"/>
                <c:pt idx="0">
                  <c:v>East</c:v>
                </c:pt>
                <c:pt idx="1">
                  <c:v>North</c:v>
                </c:pt>
                <c:pt idx="2">
                  <c:v>South</c:v>
                </c:pt>
                <c:pt idx="3">
                  <c:v>West</c:v>
                </c:pt>
              </c:strCache>
            </c:strRef>
          </c:cat>
          <c:val>
            <c:numRef>
              <c:f>Pivot!$D$27:$D$31</c:f>
              <c:numCache>
                <c:formatCode>General</c:formatCode>
                <c:ptCount val="4"/>
                <c:pt idx="2">
                  <c:v>45560</c:v>
                </c:pt>
                <c:pt idx="3">
                  <c:v>44592</c:v>
                </c:pt>
              </c:numCache>
            </c:numRef>
          </c:val>
          <c:smooth val="0"/>
          <c:extLst>
            <c:ext xmlns:c16="http://schemas.microsoft.com/office/drawing/2014/chart" uri="{C3380CC4-5D6E-409C-BE32-E72D297353CC}">
              <c16:uniqueId val="{00000005-2545-44E9-9432-CBAE5B7BFE5F}"/>
            </c:ext>
          </c:extLst>
        </c:ser>
        <c:ser>
          <c:idx val="3"/>
          <c:order val="3"/>
          <c:tx>
            <c:strRef>
              <c:f>Pivot!$E$25:$E$26</c:f>
              <c:strCache>
                <c:ptCount val="1"/>
                <c:pt idx="0">
                  <c:v>Refunded</c:v>
                </c:pt>
              </c:strCache>
            </c:strRef>
          </c:tx>
          <c:spPr>
            <a:ln w="28575" cap="rnd">
              <a:solidFill>
                <a:schemeClr val="accent4"/>
              </a:solidFill>
              <a:round/>
            </a:ln>
            <a:effectLst/>
          </c:spPr>
          <c:marker>
            <c:symbol val="none"/>
          </c:marker>
          <c:cat>
            <c:strRef>
              <c:f>Pivot!$A$27:$A$31</c:f>
              <c:strCache>
                <c:ptCount val="4"/>
                <c:pt idx="0">
                  <c:v>East</c:v>
                </c:pt>
                <c:pt idx="1">
                  <c:v>North</c:v>
                </c:pt>
                <c:pt idx="2">
                  <c:v>South</c:v>
                </c:pt>
                <c:pt idx="3">
                  <c:v>West</c:v>
                </c:pt>
              </c:strCache>
            </c:strRef>
          </c:cat>
          <c:val>
            <c:numRef>
              <c:f>Pivot!$E$27:$E$31</c:f>
              <c:numCache>
                <c:formatCode>General</c:formatCode>
                <c:ptCount val="4"/>
                <c:pt idx="0">
                  <c:v>28560</c:v>
                </c:pt>
                <c:pt idx="2">
                  <c:v>15360</c:v>
                </c:pt>
              </c:numCache>
            </c:numRef>
          </c:val>
          <c:smooth val="0"/>
          <c:extLst>
            <c:ext xmlns:c16="http://schemas.microsoft.com/office/drawing/2014/chart" uri="{C3380CC4-5D6E-409C-BE32-E72D297353CC}">
              <c16:uniqueId val="{00000006-2545-44E9-9432-CBAE5B7BFE5F}"/>
            </c:ext>
          </c:extLst>
        </c:ser>
        <c:dLbls>
          <c:showLegendKey val="0"/>
          <c:showVal val="0"/>
          <c:showCatName val="0"/>
          <c:showSerName val="0"/>
          <c:showPercent val="0"/>
          <c:showBubbleSize val="0"/>
        </c:dLbls>
        <c:smooth val="0"/>
        <c:axId val="1652127088"/>
        <c:axId val="1624003247"/>
      </c:lineChart>
      <c:catAx>
        <c:axId val="165212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03247"/>
        <c:crosses val="autoZero"/>
        <c:auto val="1"/>
        <c:lblAlgn val="ctr"/>
        <c:lblOffset val="100"/>
        <c:noMultiLvlLbl val="0"/>
      </c:catAx>
      <c:valAx>
        <c:axId val="162400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2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142875</xdr:colOff>
      <xdr:row>0</xdr:row>
      <xdr:rowOff>176212</xdr:rowOff>
    </xdr:from>
    <xdr:to>
      <xdr:col>13</xdr:col>
      <xdr:colOff>447675</xdr:colOff>
      <xdr:row>15</xdr:row>
      <xdr:rowOff>61912</xdr:rowOff>
    </xdr:to>
    <xdr:graphicFrame macro="">
      <xdr:nvGraphicFramePr>
        <xdr:cNvPr id="2" name="Chart 1">
          <a:extLst>
            <a:ext uri="{FF2B5EF4-FFF2-40B4-BE49-F238E27FC236}">
              <a16:creationId xmlns:a16="http://schemas.microsoft.com/office/drawing/2014/main" id="{D2E1458F-DEFE-891B-7137-AD76194AB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581024</xdr:colOff>
      <xdr:row>0</xdr:row>
      <xdr:rowOff>19050</xdr:rowOff>
    </xdr:from>
    <xdr:to>
      <xdr:col>30</xdr:col>
      <xdr:colOff>9525</xdr:colOff>
      <xdr:row>13</xdr:row>
      <xdr:rowOff>85725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33CD51D-8BF7-0CD2-6329-556BB90C58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030699" y="19050"/>
              <a:ext cx="2476501"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590550</xdr:colOff>
      <xdr:row>0</xdr:row>
      <xdr:rowOff>66675</xdr:rowOff>
    </xdr:from>
    <xdr:to>
      <xdr:col>24</xdr:col>
      <xdr:colOff>590550</xdr:colOff>
      <xdr:row>13</xdr:row>
      <xdr:rowOff>114300</xdr:rowOff>
    </xdr:to>
    <mc:AlternateContent xmlns:mc="http://schemas.openxmlformats.org/markup-compatibility/2006" xmlns:a14="http://schemas.microsoft.com/office/drawing/2010/main">
      <mc:Choice Requires="a14">
        <xdr:graphicFrame macro="">
          <xdr:nvGraphicFramePr>
            <xdr:cNvPr id="5" name="Sales_Channel">
              <a:extLst>
                <a:ext uri="{FF2B5EF4-FFF2-40B4-BE49-F238E27FC236}">
                  <a16:creationId xmlns:a16="http://schemas.microsoft.com/office/drawing/2014/main" id="{830EEFBA-3FB9-3E97-B948-B3C135F754C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4563725" y="66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0</xdr:row>
      <xdr:rowOff>76200</xdr:rowOff>
    </xdr:from>
    <xdr:to>
      <xdr:col>21</xdr:col>
      <xdr:colOff>190500</xdr:colOff>
      <xdr:row>13</xdr:row>
      <xdr:rowOff>123825</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E83F8612-B6C8-5F62-5081-A40BACC9563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334875"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0</xdr:row>
      <xdr:rowOff>38100</xdr:rowOff>
    </xdr:from>
    <xdr:to>
      <xdr:col>17</xdr:col>
      <xdr:colOff>95250</xdr:colOff>
      <xdr:row>13</xdr:row>
      <xdr:rowOff>85725</xdr:rowOff>
    </xdr:to>
    <mc:AlternateContent xmlns:mc="http://schemas.openxmlformats.org/markup-compatibility/2006" xmlns:a14="http://schemas.microsoft.com/office/drawing/2010/main">
      <mc:Choice Requires="a14">
        <xdr:graphicFrame macro="">
          <xdr:nvGraphicFramePr>
            <xdr:cNvPr id="8" name="T212">
              <a:extLst>
                <a:ext uri="{FF2B5EF4-FFF2-40B4-BE49-F238E27FC236}">
                  <a16:creationId xmlns:a16="http://schemas.microsoft.com/office/drawing/2014/main" id="{83913123-16F7-324C-34DF-FA87CD5A2F44}"/>
                </a:ext>
              </a:extLst>
            </xdr:cNvPr>
            <xdr:cNvGraphicFramePr/>
          </xdr:nvGraphicFramePr>
          <xdr:xfrm>
            <a:off x="0" y="0"/>
            <a:ext cx="0" cy="0"/>
          </xdr:xfrm>
          <a:graphic>
            <a:graphicData uri="http://schemas.microsoft.com/office/drawing/2010/slicer">
              <sle:slicer xmlns:sle="http://schemas.microsoft.com/office/drawing/2010/slicer" name="T212"/>
            </a:graphicData>
          </a:graphic>
        </xdr:graphicFrame>
      </mc:Choice>
      <mc:Fallback xmlns="">
        <xdr:sp macro="" textlink="">
          <xdr:nvSpPr>
            <xdr:cNvPr id="0" name=""/>
            <xdr:cNvSpPr>
              <a:spLocks noTextEdit="1"/>
            </xdr:cNvSpPr>
          </xdr:nvSpPr>
          <xdr:spPr>
            <a:xfrm>
              <a:off x="10096500" y="38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18</xdr:row>
      <xdr:rowOff>185737</xdr:rowOff>
    </xdr:from>
    <xdr:to>
      <xdr:col>15</xdr:col>
      <xdr:colOff>304800</xdr:colOff>
      <xdr:row>33</xdr:row>
      <xdr:rowOff>71437</xdr:rowOff>
    </xdr:to>
    <xdr:graphicFrame macro="">
      <xdr:nvGraphicFramePr>
        <xdr:cNvPr id="9" name="Chart 8">
          <a:extLst>
            <a:ext uri="{FF2B5EF4-FFF2-40B4-BE49-F238E27FC236}">
              <a16:creationId xmlns:a16="http://schemas.microsoft.com/office/drawing/2014/main" id="{30C31809-0039-C80C-AA4A-692DE152B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0</xdr:row>
      <xdr:rowOff>128587</xdr:rowOff>
    </xdr:from>
    <xdr:to>
      <xdr:col>20</xdr:col>
      <xdr:colOff>314325</xdr:colOff>
      <xdr:row>13</xdr:row>
      <xdr:rowOff>28575</xdr:rowOff>
    </xdr:to>
    <xdr:graphicFrame macro="">
      <xdr:nvGraphicFramePr>
        <xdr:cNvPr id="3" name="Chart 2">
          <a:extLst>
            <a:ext uri="{FF2B5EF4-FFF2-40B4-BE49-F238E27FC236}">
              <a16:creationId xmlns:a16="http://schemas.microsoft.com/office/drawing/2014/main" id="{979FCBD5-9AB0-FE6A-5B76-58799A7E0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64</xdr:col>
      <xdr:colOff>28575</xdr:colOff>
      <xdr:row>107</xdr:row>
      <xdr:rowOff>57150</xdr:rowOff>
    </xdr:to>
    <xdr:sp macro="" textlink="">
      <xdr:nvSpPr>
        <xdr:cNvPr id="2" name="Rectangle 1">
          <a:extLst>
            <a:ext uri="{FF2B5EF4-FFF2-40B4-BE49-F238E27FC236}">
              <a16:creationId xmlns:a16="http://schemas.microsoft.com/office/drawing/2014/main" id="{4A7AC94D-83D8-4139-6481-8E7B0AB5BED9}"/>
            </a:ext>
          </a:extLst>
        </xdr:cNvPr>
        <xdr:cNvSpPr/>
      </xdr:nvSpPr>
      <xdr:spPr>
        <a:xfrm>
          <a:off x="9525" y="0"/>
          <a:ext cx="39033450" cy="2044065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285748</xdr:colOff>
      <xdr:row>0</xdr:row>
      <xdr:rowOff>114300</xdr:rowOff>
    </xdr:from>
    <xdr:to>
      <xdr:col>43</xdr:col>
      <xdr:colOff>38099</xdr:colOff>
      <xdr:row>5</xdr:row>
      <xdr:rowOff>85725</xdr:rowOff>
    </xdr:to>
    <xdr:sp macro="" textlink="">
      <xdr:nvSpPr>
        <xdr:cNvPr id="3" name="Rectangle: Rounded Corners 2">
          <a:extLst>
            <a:ext uri="{FF2B5EF4-FFF2-40B4-BE49-F238E27FC236}">
              <a16:creationId xmlns:a16="http://schemas.microsoft.com/office/drawing/2014/main" id="{3E61AA6B-9D21-F499-E684-6AB1EAEAC888}"/>
            </a:ext>
          </a:extLst>
        </xdr:cNvPr>
        <xdr:cNvSpPr/>
      </xdr:nvSpPr>
      <xdr:spPr>
        <a:xfrm>
          <a:off x="285748" y="114300"/>
          <a:ext cx="25965151" cy="923925"/>
        </a:xfrm>
        <a:prstGeom prst="roundRect">
          <a:avLst/>
        </a:prstGeom>
        <a:solidFill>
          <a:schemeClr val="tx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rgbClr val="FFFF00"/>
              </a:solidFill>
            </a:rPr>
            <a:t>SALES PERFORMANCE</a:t>
          </a:r>
          <a:r>
            <a:rPr lang="en-IN" sz="3600" baseline="0">
              <a:solidFill>
                <a:srgbClr val="FFFF00"/>
              </a:solidFill>
            </a:rPr>
            <a:t> </a:t>
          </a:r>
          <a:r>
            <a:rPr lang="en-IN" sz="3600">
              <a:solidFill>
                <a:srgbClr val="FFFF00"/>
              </a:solidFill>
            </a:rPr>
            <a:t>DASHBOARD</a:t>
          </a:r>
        </a:p>
      </xdr:txBody>
    </xdr:sp>
    <xdr:clientData/>
  </xdr:twoCellAnchor>
  <xdr:twoCellAnchor>
    <xdr:from>
      <xdr:col>0</xdr:col>
      <xdr:colOff>438150</xdr:colOff>
      <xdr:row>6</xdr:row>
      <xdr:rowOff>142875</xdr:rowOff>
    </xdr:from>
    <xdr:to>
      <xdr:col>6</xdr:col>
      <xdr:colOff>571500</xdr:colOff>
      <xdr:row>14</xdr:row>
      <xdr:rowOff>171450</xdr:rowOff>
    </xdr:to>
    <xdr:sp macro="" textlink="Transactions!$P$79">
      <xdr:nvSpPr>
        <xdr:cNvPr id="5" name="Rectangle: Rounded Corners 4">
          <a:extLst>
            <a:ext uri="{FF2B5EF4-FFF2-40B4-BE49-F238E27FC236}">
              <a16:creationId xmlns:a16="http://schemas.microsoft.com/office/drawing/2014/main" id="{35628EE4-21FE-BC2B-0253-32F2DCC0D03A}"/>
            </a:ext>
          </a:extLst>
        </xdr:cNvPr>
        <xdr:cNvSpPr/>
      </xdr:nvSpPr>
      <xdr:spPr>
        <a:xfrm>
          <a:off x="438150" y="1285875"/>
          <a:ext cx="3790950" cy="1552575"/>
        </a:xfrm>
        <a:prstGeom prst="roundRect">
          <a:avLst/>
        </a:prstGeom>
        <a:solidFill>
          <a:schemeClr val="tx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baseline="0">
              <a:solidFill>
                <a:srgbClr val="FFFF00"/>
              </a:solidFill>
              <a:latin typeface="Calibri"/>
              <a:ea typeface="Calibri"/>
              <a:cs typeface="Calibri"/>
            </a:rPr>
            <a:t>             TOTAL NET SALES    </a:t>
          </a:r>
        </a:p>
        <a:p>
          <a:pPr algn="l"/>
          <a:r>
            <a:rPr lang="en-US" sz="2000" b="0" i="0" u="none" strike="noStrike" baseline="0">
              <a:solidFill>
                <a:srgbClr val="FFFF00"/>
              </a:solidFill>
              <a:latin typeface="Calibri"/>
              <a:ea typeface="Calibri"/>
              <a:cs typeface="Calibri"/>
            </a:rPr>
            <a:t>    </a:t>
          </a:r>
        </a:p>
        <a:p>
          <a:pPr algn="l"/>
          <a:r>
            <a:rPr lang="en-US" sz="2000" b="0" i="0" u="none" strike="noStrike" baseline="0">
              <a:solidFill>
                <a:srgbClr val="FFFF00"/>
              </a:solidFill>
              <a:latin typeface="Calibri"/>
              <a:ea typeface="Calibri"/>
              <a:cs typeface="Calibri"/>
            </a:rPr>
            <a:t>                 </a:t>
          </a:r>
          <a:fld id="{2A6D7ACD-4C00-4957-AD26-93968EDC4491}" type="TxLink">
            <a:rPr lang="en-US" sz="2000" b="0" i="0" u="none" strike="noStrike" baseline="0">
              <a:solidFill>
                <a:srgbClr val="FFFF00"/>
              </a:solidFill>
              <a:latin typeface="Calibri"/>
              <a:ea typeface="Calibri"/>
              <a:cs typeface="Calibri"/>
            </a:rPr>
            <a:t>1594263.8</a:t>
          </a:fld>
          <a:endParaRPr lang="en-IN" sz="2000">
            <a:solidFill>
              <a:srgbClr val="FFFF00"/>
            </a:solidFill>
          </a:endParaRPr>
        </a:p>
      </xdr:txBody>
    </xdr:sp>
    <xdr:clientData/>
  </xdr:twoCellAnchor>
  <xdr:twoCellAnchor>
    <xdr:from>
      <xdr:col>9</xdr:col>
      <xdr:colOff>581024</xdr:colOff>
      <xdr:row>6</xdr:row>
      <xdr:rowOff>152400</xdr:rowOff>
    </xdr:from>
    <xdr:to>
      <xdr:col>17</xdr:col>
      <xdr:colOff>19049</xdr:colOff>
      <xdr:row>15</xdr:row>
      <xdr:rowOff>9525</xdr:rowOff>
    </xdr:to>
    <xdr:sp macro="" textlink="Pivot!$A$35">
      <xdr:nvSpPr>
        <xdr:cNvPr id="6" name="Rectangle: Rounded Corners 5">
          <a:extLst>
            <a:ext uri="{FF2B5EF4-FFF2-40B4-BE49-F238E27FC236}">
              <a16:creationId xmlns:a16="http://schemas.microsoft.com/office/drawing/2014/main" id="{AFC15E30-0E29-196B-FDF6-501A5B83146C}"/>
            </a:ext>
          </a:extLst>
        </xdr:cNvPr>
        <xdr:cNvSpPr/>
      </xdr:nvSpPr>
      <xdr:spPr>
        <a:xfrm>
          <a:off x="6067424" y="1295400"/>
          <a:ext cx="4314825" cy="1571625"/>
        </a:xfrm>
        <a:prstGeom prst="roundRect">
          <a:avLst/>
        </a:prstGeom>
        <a:solidFill>
          <a:schemeClr val="tx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a:solidFill>
                <a:srgbClr val="FFFF00"/>
              </a:solidFill>
              <a:latin typeface="Calibri"/>
              <a:ea typeface="Calibri"/>
              <a:cs typeface="Calibri"/>
            </a:rPr>
            <a:t>         COMPLETED TRANSACTIONS</a:t>
          </a:r>
        </a:p>
        <a:p>
          <a:pPr algn="l"/>
          <a:r>
            <a:rPr lang="en-US" sz="2000" b="0" i="0" u="none" strike="noStrike">
              <a:solidFill>
                <a:srgbClr val="FFFF00"/>
              </a:solidFill>
              <a:latin typeface="Calibri"/>
              <a:ea typeface="Calibri"/>
              <a:cs typeface="Calibri"/>
            </a:rPr>
            <a:t>  </a:t>
          </a:r>
        </a:p>
        <a:p>
          <a:pPr algn="l"/>
          <a:r>
            <a:rPr lang="en-US" sz="2000" b="0" i="0" u="none" strike="noStrike">
              <a:solidFill>
                <a:srgbClr val="FFFF00"/>
              </a:solidFill>
              <a:latin typeface="Calibri"/>
              <a:ea typeface="Calibri"/>
              <a:cs typeface="Calibri"/>
            </a:rPr>
            <a:t>                             </a:t>
          </a:r>
          <a:fld id="{CE3E5368-CDBD-4782-9705-73E157F3AAEC}" type="TxLink">
            <a:rPr lang="en-US" sz="2000" b="0" i="0" u="none" strike="noStrike">
              <a:solidFill>
                <a:srgbClr val="FFFF00"/>
              </a:solidFill>
              <a:latin typeface="Calibri"/>
              <a:ea typeface="Calibri"/>
              <a:cs typeface="Calibri"/>
            </a:rPr>
            <a:t>67</a:t>
          </a:fld>
          <a:endParaRPr lang="en-IN" sz="2000">
            <a:solidFill>
              <a:srgbClr val="FFFF00"/>
            </a:solidFill>
          </a:endParaRPr>
        </a:p>
      </xdr:txBody>
    </xdr:sp>
    <xdr:clientData/>
  </xdr:twoCellAnchor>
  <xdr:twoCellAnchor>
    <xdr:from>
      <xdr:col>21</xdr:col>
      <xdr:colOff>371475</xdr:colOff>
      <xdr:row>6</xdr:row>
      <xdr:rowOff>95250</xdr:rowOff>
    </xdr:from>
    <xdr:to>
      <xdr:col>27</xdr:col>
      <xdr:colOff>552450</xdr:colOff>
      <xdr:row>14</xdr:row>
      <xdr:rowOff>180975</xdr:rowOff>
    </xdr:to>
    <xdr:sp macro="" textlink="Pivot!$A$48">
      <xdr:nvSpPr>
        <xdr:cNvPr id="7" name="Rectangle: Rounded Corners 6">
          <a:extLst>
            <a:ext uri="{FF2B5EF4-FFF2-40B4-BE49-F238E27FC236}">
              <a16:creationId xmlns:a16="http://schemas.microsoft.com/office/drawing/2014/main" id="{B0BC3098-C7C3-89AC-6B2B-DB87FBFEF758}"/>
            </a:ext>
          </a:extLst>
        </xdr:cNvPr>
        <xdr:cNvSpPr/>
      </xdr:nvSpPr>
      <xdr:spPr>
        <a:xfrm>
          <a:off x="13173075" y="1238250"/>
          <a:ext cx="3838575" cy="1609725"/>
        </a:xfrm>
        <a:prstGeom prst="roundRect">
          <a:avLst/>
        </a:prstGeom>
        <a:solidFill>
          <a:schemeClr val="tx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baseline="0">
              <a:solidFill>
                <a:srgbClr val="FFFF00"/>
              </a:solidFill>
              <a:latin typeface="Calibri"/>
              <a:ea typeface="Calibri"/>
              <a:cs typeface="Calibri"/>
            </a:rPr>
            <a:t>          </a:t>
          </a:r>
          <a:r>
            <a:rPr lang="en-US" sz="2000" b="0" i="0" u="none" strike="noStrike">
              <a:solidFill>
                <a:srgbClr val="FFFF00"/>
              </a:solidFill>
              <a:latin typeface="Calibri"/>
              <a:ea typeface="Calibri"/>
              <a:cs typeface="Calibri"/>
            </a:rPr>
            <a:t>AVERAGE ORDER VALUE    </a:t>
          </a:r>
        </a:p>
        <a:p>
          <a:pPr algn="l"/>
          <a:r>
            <a:rPr lang="en-US" sz="2000" b="0" i="0" u="none" strike="noStrike">
              <a:solidFill>
                <a:srgbClr val="FFFF00"/>
              </a:solidFill>
              <a:latin typeface="Calibri"/>
              <a:ea typeface="Calibri"/>
              <a:cs typeface="Calibri"/>
            </a:rPr>
            <a:t>      </a:t>
          </a:r>
        </a:p>
        <a:p>
          <a:pPr algn="l"/>
          <a:r>
            <a:rPr lang="en-US" sz="2000" b="0" i="0" u="none" strike="noStrike">
              <a:solidFill>
                <a:srgbClr val="FFFF00"/>
              </a:solidFill>
              <a:latin typeface="Calibri"/>
              <a:ea typeface="Calibri"/>
              <a:cs typeface="Calibri"/>
            </a:rPr>
            <a:t>	</a:t>
          </a:r>
          <a:fld id="{FB815C43-2486-47B9-9441-D836B5B52FD6}" type="TxLink">
            <a:rPr lang="en-US" sz="2000" b="0" i="0" u="none" strike="noStrike">
              <a:solidFill>
                <a:srgbClr val="FFFF00"/>
              </a:solidFill>
              <a:latin typeface="Calibri"/>
              <a:ea typeface="Calibri"/>
              <a:cs typeface="Calibri"/>
            </a:rPr>
            <a:pPr algn="l"/>
            <a:t>20977.15526</a:t>
          </a:fld>
          <a:endParaRPr lang="en-IN" sz="2000">
            <a:solidFill>
              <a:srgbClr val="FFFF00"/>
            </a:solidFill>
          </a:endParaRPr>
        </a:p>
      </xdr:txBody>
    </xdr:sp>
    <xdr:clientData/>
  </xdr:twoCellAnchor>
  <xdr:twoCellAnchor>
    <xdr:from>
      <xdr:col>33</xdr:col>
      <xdr:colOff>285751</xdr:colOff>
      <xdr:row>6</xdr:row>
      <xdr:rowOff>1</xdr:rowOff>
    </xdr:from>
    <xdr:to>
      <xdr:col>39</xdr:col>
      <xdr:colOff>476251</xdr:colOff>
      <xdr:row>14</xdr:row>
      <xdr:rowOff>1</xdr:rowOff>
    </xdr:to>
    <xdr:sp macro="" textlink="Transactions!$H$79">
      <xdr:nvSpPr>
        <xdr:cNvPr id="9" name="Rectangle: Rounded Corners 8">
          <a:extLst>
            <a:ext uri="{FF2B5EF4-FFF2-40B4-BE49-F238E27FC236}">
              <a16:creationId xmlns:a16="http://schemas.microsoft.com/office/drawing/2014/main" id="{6681B001-1E97-DAD3-7B88-4885A68909F1}"/>
            </a:ext>
          </a:extLst>
        </xdr:cNvPr>
        <xdr:cNvSpPr/>
      </xdr:nvSpPr>
      <xdr:spPr>
        <a:xfrm>
          <a:off x="20402551" y="1143001"/>
          <a:ext cx="3848100" cy="1524000"/>
        </a:xfrm>
        <a:prstGeom prst="roundRect">
          <a:avLst/>
        </a:prstGeom>
        <a:solidFill>
          <a:schemeClr val="tx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a:solidFill>
                <a:srgbClr val="FFFF00"/>
              </a:solidFill>
              <a:latin typeface="Calibri"/>
              <a:ea typeface="Calibri"/>
              <a:cs typeface="Calibri"/>
            </a:rPr>
            <a:t>                TOTAL QUANTITY       </a:t>
          </a:r>
        </a:p>
        <a:p>
          <a:pPr algn="l"/>
          <a:endParaRPr lang="en-US" sz="2000" b="0" i="0" u="none" strike="noStrike">
            <a:solidFill>
              <a:srgbClr val="FFFF00"/>
            </a:solidFill>
            <a:latin typeface="Calibri"/>
            <a:ea typeface="Calibri"/>
            <a:cs typeface="Calibri"/>
          </a:endParaRPr>
        </a:p>
        <a:p>
          <a:pPr algn="l"/>
          <a:r>
            <a:rPr lang="en-US" sz="2000" b="0" i="0" u="none" strike="noStrike">
              <a:solidFill>
                <a:srgbClr val="FFFF00"/>
              </a:solidFill>
              <a:latin typeface="Calibri"/>
              <a:ea typeface="Calibri"/>
              <a:cs typeface="Calibri"/>
            </a:rPr>
            <a:t>                            </a:t>
          </a:r>
          <a:fld id="{871E9358-B2C7-440C-BAEE-BCFDC2BED09D}" type="TxLink">
            <a:rPr lang="en-US" sz="2000" b="0" i="0" u="none" strike="noStrike">
              <a:solidFill>
                <a:srgbClr val="FFFF00"/>
              </a:solidFill>
              <a:latin typeface="Calibri"/>
              <a:ea typeface="Calibri"/>
              <a:cs typeface="Calibri"/>
            </a:rPr>
            <a:t>592</a:t>
          </a:fld>
          <a:endParaRPr lang="en-IN" sz="2000">
            <a:solidFill>
              <a:srgbClr val="FFFF00"/>
            </a:solidFill>
          </a:endParaRPr>
        </a:p>
      </xdr:txBody>
    </xdr:sp>
    <xdr:clientData/>
  </xdr:twoCellAnchor>
  <xdr:twoCellAnchor>
    <xdr:from>
      <xdr:col>8</xdr:col>
      <xdr:colOff>47626</xdr:colOff>
      <xdr:row>17</xdr:row>
      <xdr:rowOff>95250</xdr:rowOff>
    </xdr:from>
    <xdr:to>
      <xdr:col>19</xdr:col>
      <xdr:colOff>333375</xdr:colOff>
      <xdr:row>43</xdr:row>
      <xdr:rowOff>85725</xdr:rowOff>
    </xdr:to>
    <xdr:sp macro="" textlink="">
      <xdr:nvSpPr>
        <xdr:cNvPr id="10" name="Rectangle 9">
          <a:extLst>
            <a:ext uri="{FF2B5EF4-FFF2-40B4-BE49-F238E27FC236}">
              <a16:creationId xmlns:a16="http://schemas.microsoft.com/office/drawing/2014/main" id="{BD5E466C-DC09-C319-A17F-3794704D0FA7}"/>
            </a:ext>
          </a:extLst>
        </xdr:cNvPr>
        <xdr:cNvSpPr/>
      </xdr:nvSpPr>
      <xdr:spPr>
        <a:xfrm>
          <a:off x="4924426" y="3333750"/>
          <a:ext cx="6991349" cy="4943475"/>
        </a:xfrm>
        <a:prstGeom prst="rect">
          <a:avLst/>
        </a:prstGeom>
        <a:solidFill>
          <a:schemeClr val="tx1"/>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381000</xdr:colOff>
      <xdr:row>32</xdr:row>
      <xdr:rowOff>47625</xdr:rowOff>
    </xdr:from>
    <xdr:to>
      <xdr:col>7</xdr:col>
      <xdr:colOff>381000</xdr:colOff>
      <xdr:row>45</xdr:row>
      <xdr:rowOff>47624</xdr:rowOff>
    </xdr:to>
    <mc:AlternateContent xmlns:mc="http://schemas.openxmlformats.org/markup-compatibility/2006">
      <mc:Choice xmlns:a14="http://schemas.microsoft.com/office/drawing/2010/main" Requires="a14">
        <xdr:graphicFrame macro="">
          <xdr:nvGraphicFramePr>
            <xdr:cNvPr id="13" name="Status 1">
              <a:extLst>
                <a:ext uri="{FF2B5EF4-FFF2-40B4-BE49-F238E27FC236}">
                  <a16:creationId xmlns:a16="http://schemas.microsoft.com/office/drawing/2014/main" id="{40BFDB6A-C7FE-4DE1-BE39-A1E004659C5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819400" y="6143625"/>
              <a:ext cx="1828800" cy="247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342900</xdr:colOff>
      <xdr:row>17</xdr:row>
      <xdr:rowOff>152400</xdr:rowOff>
    </xdr:from>
    <xdr:to>
      <xdr:col>7</xdr:col>
      <xdr:colOff>190500</xdr:colOff>
      <xdr:row>30</xdr:row>
      <xdr:rowOff>142875</xdr:rowOff>
    </xdr:to>
    <mc:AlternateContent xmlns:mc="http://schemas.openxmlformats.org/markup-compatibility/2006">
      <mc:Choice xmlns:a14="http://schemas.microsoft.com/office/drawing/2010/main" Requires="a14">
        <xdr:graphicFrame macro="">
          <xdr:nvGraphicFramePr>
            <xdr:cNvPr id="14" name="Sales_Channel 1">
              <a:extLst>
                <a:ext uri="{FF2B5EF4-FFF2-40B4-BE49-F238E27FC236}">
                  <a16:creationId xmlns:a16="http://schemas.microsoft.com/office/drawing/2014/main" id="{A7CC45E0-963D-4AA3-961C-849191B19C12}"/>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2781300" y="3390900"/>
              <a:ext cx="16764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18</xdr:row>
      <xdr:rowOff>9526</xdr:rowOff>
    </xdr:from>
    <xdr:to>
      <xdr:col>3</xdr:col>
      <xdr:colOff>257175</xdr:colOff>
      <xdr:row>30</xdr:row>
      <xdr:rowOff>123826</xdr:rowOff>
    </xdr:to>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53C072C0-E390-4BFA-8736-B53C33E4F9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61950" y="3438526"/>
              <a:ext cx="1724025"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409574</xdr:colOff>
      <xdr:row>18</xdr:row>
      <xdr:rowOff>47625</xdr:rowOff>
    </xdr:from>
    <xdr:to>
      <xdr:col>19</xdr:col>
      <xdr:colOff>428625</xdr:colOff>
      <xdr:row>43</xdr:row>
      <xdr:rowOff>28575</xdr:rowOff>
    </xdr:to>
    <xdr:graphicFrame macro="">
      <xdr:nvGraphicFramePr>
        <xdr:cNvPr id="16" name="Chart 15">
          <a:extLst>
            <a:ext uri="{FF2B5EF4-FFF2-40B4-BE49-F238E27FC236}">
              <a16:creationId xmlns:a16="http://schemas.microsoft.com/office/drawing/2014/main" id="{90034A59-C5A8-4DED-B875-5181736F1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32</xdr:row>
      <xdr:rowOff>85725</xdr:rowOff>
    </xdr:from>
    <xdr:to>
      <xdr:col>3</xdr:col>
      <xdr:colOff>304800</xdr:colOff>
      <xdr:row>45</xdr:row>
      <xdr:rowOff>133350</xdr:rowOff>
    </xdr:to>
    <mc:AlternateContent xmlns:mc="http://schemas.openxmlformats.org/markup-compatibility/2006">
      <mc:Choice xmlns:a14="http://schemas.microsoft.com/office/drawing/2010/main" Requires="a14">
        <xdr:graphicFrame macro="">
          <xdr:nvGraphicFramePr>
            <xdr:cNvPr id="4" name="T212 1">
              <a:extLst>
                <a:ext uri="{FF2B5EF4-FFF2-40B4-BE49-F238E27FC236}">
                  <a16:creationId xmlns:a16="http://schemas.microsoft.com/office/drawing/2014/main" id="{5D5C95C9-A67D-431B-8984-1663D7161FC7}"/>
                </a:ext>
              </a:extLst>
            </xdr:cNvPr>
            <xdr:cNvGraphicFramePr/>
          </xdr:nvGraphicFramePr>
          <xdr:xfrm>
            <a:off x="0" y="0"/>
            <a:ext cx="0" cy="0"/>
          </xdr:xfrm>
          <a:graphic>
            <a:graphicData uri="http://schemas.microsoft.com/office/drawing/2010/slicer">
              <sle:slicer xmlns:sle="http://schemas.microsoft.com/office/drawing/2010/slicer" name="T212 1"/>
            </a:graphicData>
          </a:graphic>
        </xdr:graphicFrame>
      </mc:Choice>
      <mc:Fallback>
        <xdr:sp macro="" textlink="">
          <xdr:nvSpPr>
            <xdr:cNvPr id="0" name=""/>
            <xdr:cNvSpPr>
              <a:spLocks noTextEdit="1"/>
            </xdr:cNvSpPr>
          </xdr:nvSpPr>
          <xdr:spPr>
            <a:xfrm>
              <a:off x="3048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219075</xdr:colOff>
      <xdr:row>16</xdr:row>
      <xdr:rowOff>171450</xdr:rowOff>
    </xdr:from>
    <xdr:to>
      <xdr:col>32</xdr:col>
      <xdr:colOff>466725</xdr:colOff>
      <xdr:row>43</xdr:row>
      <xdr:rowOff>85725</xdr:rowOff>
    </xdr:to>
    <xdr:sp macro="" textlink="">
      <xdr:nvSpPr>
        <xdr:cNvPr id="8" name="Rectangle 7">
          <a:extLst>
            <a:ext uri="{FF2B5EF4-FFF2-40B4-BE49-F238E27FC236}">
              <a16:creationId xmlns:a16="http://schemas.microsoft.com/office/drawing/2014/main" id="{0EC66E34-ED3A-C605-D1CF-2820BBBDFA5F}"/>
            </a:ext>
          </a:extLst>
        </xdr:cNvPr>
        <xdr:cNvSpPr/>
      </xdr:nvSpPr>
      <xdr:spPr>
        <a:xfrm>
          <a:off x="13020675" y="3219450"/>
          <a:ext cx="6953250" cy="5057775"/>
        </a:xfrm>
        <a:prstGeom prst="rect">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34</xdr:col>
      <xdr:colOff>600075</xdr:colOff>
      <xdr:row>16</xdr:row>
      <xdr:rowOff>95250</xdr:rowOff>
    </xdr:from>
    <xdr:to>
      <xdr:col>45</xdr:col>
      <xdr:colOff>371475</xdr:colOff>
      <xdr:row>43</xdr:row>
      <xdr:rowOff>66675</xdr:rowOff>
    </xdr:to>
    <xdr:sp macro="" textlink="">
      <xdr:nvSpPr>
        <xdr:cNvPr id="18" name="Rectangle 17">
          <a:extLst>
            <a:ext uri="{FF2B5EF4-FFF2-40B4-BE49-F238E27FC236}">
              <a16:creationId xmlns:a16="http://schemas.microsoft.com/office/drawing/2014/main" id="{3B6884A4-97B7-21F6-DA36-33680BB85992}"/>
            </a:ext>
          </a:extLst>
        </xdr:cNvPr>
        <xdr:cNvSpPr/>
      </xdr:nvSpPr>
      <xdr:spPr>
        <a:xfrm>
          <a:off x="21326475" y="3143250"/>
          <a:ext cx="6477000" cy="5114925"/>
        </a:xfrm>
        <a:prstGeom prst="rect">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600075</xdr:colOff>
      <xdr:row>16</xdr:row>
      <xdr:rowOff>95250</xdr:rowOff>
    </xdr:from>
    <xdr:to>
      <xdr:col>45</xdr:col>
      <xdr:colOff>361950</xdr:colOff>
      <xdr:row>39</xdr:row>
      <xdr:rowOff>171450</xdr:rowOff>
    </xdr:to>
    <xdr:graphicFrame macro="">
      <xdr:nvGraphicFramePr>
        <xdr:cNvPr id="20" name="Chart 19">
          <a:extLst>
            <a:ext uri="{FF2B5EF4-FFF2-40B4-BE49-F238E27FC236}">
              <a16:creationId xmlns:a16="http://schemas.microsoft.com/office/drawing/2014/main" id="{37E70780-CD36-41C7-AB6C-8C255A2C4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76201</xdr:colOff>
      <xdr:row>21</xdr:row>
      <xdr:rowOff>19049</xdr:rowOff>
    </xdr:from>
    <xdr:to>
      <xdr:col>32</xdr:col>
      <xdr:colOff>0</xdr:colOff>
      <xdr:row>42</xdr:row>
      <xdr:rowOff>9524</xdr:rowOff>
    </xdr:to>
    <xdr:graphicFrame macro="">
      <xdr:nvGraphicFramePr>
        <xdr:cNvPr id="21" name="Chart 20">
          <a:extLst>
            <a:ext uri="{FF2B5EF4-FFF2-40B4-BE49-F238E27FC236}">
              <a16:creationId xmlns:a16="http://schemas.microsoft.com/office/drawing/2014/main" id="{68157417-01C9-4B98-8E31-9F0ABF589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24</xdr:col>
      <xdr:colOff>390526</xdr:colOff>
      <xdr:row>18</xdr:row>
      <xdr:rowOff>123825</xdr:rowOff>
    </xdr:from>
    <xdr:ext cx="3981450" cy="767381"/>
    <xdr:sp macro="" textlink="">
      <xdr:nvSpPr>
        <xdr:cNvPr id="22" name="TextBox 21">
          <a:extLst>
            <a:ext uri="{FF2B5EF4-FFF2-40B4-BE49-F238E27FC236}">
              <a16:creationId xmlns:a16="http://schemas.microsoft.com/office/drawing/2014/main" id="{28E1469D-790C-BCD5-56D5-0A83BCAF1709}"/>
            </a:ext>
          </a:extLst>
        </xdr:cNvPr>
        <xdr:cNvSpPr txBox="1"/>
      </xdr:nvSpPr>
      <xdr:spPr>
        <a:xfrm>
          <a:off x="15020926" y="3552825"/>
          <a:ext cx="3981450" cy="7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a:solidFill>
                <a:srgbClr val="FFFF00"/>
              </a:solidFill>
            </a:rPr>
            <a:t>NET SALES BY REGION AND STATUS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ana T T K" refreshedDate="46314.403559375001" backgroundQuery="1" createdVersion="8" refreshedVersion="8" minRefreshableVersion="3" recordCount="0" supportSubquery="1" supportAdvancedDrill="1" xr:uid="{CC7CEDA0-ED77-4483-866F-138E15740508}">
  <cacheSource type="external" connectionId="1"/>
  <cacheFields count="4">
    <cacheField name="[Table1].[Region].[Region]" caption="Region" numFmtId="0" hierarchy="2" level="1">
      <sharedItems containsSemiMixedTypes="0" containsNonDate="0" containsString="0"/>
    </cacheField>
    <cacheField name="[Table1].[Product].[Product]" caption="Product" numFmtId="0" hierarchy="6" level="1">
      <sharedItems count="10">
        <s v="Camera"/>
        <s v="Laptop"/>
        <s v="Monitor"/>
        <s v="Printer"/>
        <s v="Projector"/>
        <s v="Refrigerator"/>
        <s v="Smartphone"/>
        <s v="Smartwatch"/>
        <s v="Tablet"/>
        <s v="Washing Machine"/>
      </sharedItems>
    </cacheField>
    <cacheField name="[Measures].[Sum of Net_Sales]" caption="Sum of Net_Sales" numFmtId="0" hierarchy="32" level="32767"/>
    <cacheField name="[Table1].[Category].[Category]" caption="Category" numFmtId="0" hierarchy="5" level="1">
      <sharedItems containsSemiMixedTypes="0" containsNonDate="0" containsString="0"/>
    </cacheField>
  </cacheFields>
  <cacheHierarchies count="39">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0" memberValueDatatype="13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Net_Sales]" caption="Net_Sales" attribute="1" defaultMemberUniqueName="[Table1].[Net_Sales].[All]" allUniqueName="[Table1].[Net_Sales].[All]" dimensionUniqueName="[Table1]" displayFolder="" count="0" memberValueDatatype="5" unbalanced="0"/>
    <cacheHierarchy uniqueName="[Table1].[Transaction_month]" caption="Transaction_month" attribute="1" defaultMemberUniqueName="[Table1].[Transaction_month].[All]" allUniqueName="[Table1].[Transaction_month].[All]" dimensionUniqueName="[Table1]" displayFolder="" count="0" memberValueDatatype="130" unbalanced="0"/>
    <cacheHierarchy uniqueName="[Table1].[Transaction_Flag]" caption="Transaction_Flag" attribute="1" defaultMemberUniqueName="[Table1].[Transaction_Flag].[All]" allUniqueName="[Table1].[Transaction_Flag].[All]" dimensionUniqueName="[Table1]" displayFolder="" count="0" memberValueDatatype="130" unbalanced="0"/>
    <cacheHierarchy uniqueName="[Table1].[classification_netsales]" caption="classification_netsales" attribute="1" defaultMemberUniqueName="[Table1].[classification_netsales].[All]" allUniqueName="[Table1].[classification_netsales].[All]" dimensionUniqueName="[Table1]" displayFolder="" count="0" memberValueDatatype="130" unbalanced="0"/>
    <cacheHierarchy uniqueName="[Table1].[AND]" caption="AND" attribute="1" defaultMemberUniqueName="[Table1].[AND].[All]" allUniqueName="[Table1].[AND].[All]" dimensionUniqueName="[Table1]" displayFolder="" count="0" memberValueDatatype="11" unbalanced="0"/>
    <cacheHierarchy uniqueName="[Table1].[OR]" caption="OR" attribute="1" defaultMemberUniqueName="[Table1].[OR].[All]" allUniqueName="[Table1].[OR].[All]" dimensionUniqueName="[Table1]" displayFolder="" count="0" memberValueDatatype="11" unbalanced="0"/>
    <cacheHierarchy uniqueName="[Table1].[iferror]" caption="iferror" attribute="1" defaultMemberUniqueName="[Table1].[iferror].[All]" allUniqueName="[Table1].[iferror].[All]" dimensionUniqueName="[Table1]" displayFolder="" count="0" memberValueDatatype="130" unbalanced="0"/>
    <cacheHierarchy uniqueName="[Table1].[T21]" caption="T21" attribute="1" defaultMemberUniqueName="[Table1].[T21].[All]" allUniqueName="[Table1].[T21].[All]" dimensionUniqueName="[Table1]" displayFolder="" count="0" memberValueDatatype="130" unbalanced="0"/>
    <cacheHierarchy uniqueName="[Table1].[T212]" caption="T212" attribute="1" defaultMemberUniqueName="[Table1].[T212].[All]" allUniqueName="[Table1].[T212].[All]" dimensionUniqueName="[Table1]"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Region_category]" caption="Region_category" attribute="1" defaultMemberUniqueName="[Table1].[Region_category].[All]" allUniqueName="[Table1].[Region_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1"/>
        </ext>
      </extLst>
    </cacheHierarchy>
    <cacheHierarchy uniqueName="[Measures].[Average of Net_Sales]" caption="Average of Net_Sales"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Table1"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ana T T K" refreshedDate="46314.403559837963" backgroundQuery="1" createdVersion="8" refreshedVersion="8" minRefreshableVersion="3" recordCount="0" supportSubquery="1" supportAdvancedDrill="1" xr:uid="{E43F118F-39BB-4F88-AC6C-08F4F2408B9E}">
  <cacheSource type="external" connectionId="1"/>
  <cacheFields count="5">
    <cacheField name="[Table1].[Status].[Status]" caption="Status" numFmtId="0" hierarchy="11" level="1">
      <sharedItems count="4">
        <s v="Cancelled"/>
        <s v="Completed"/>
        <s v="Pending"/>
        <s v="Refunded"/>
      </sharedItems>
    </cacheField>
    <cacheField name="[Table1].[T212].[T212]" caption="T212" numFmtId="0" hierarchy="23" level="1">
      <sharedItems count="4">
        <s v="East"/>
        <s v="North"/>
        <s v="South"/>
        <s v="West"/>
      </sharedItems>
    </cacheField>
    <cacheField name="[Measures].[Sum of Net_Sales]" caption="Sum of Net_Sales" numFmtId="0" hierarchy="32" level="32767"/>
    <cacheField name="[Table1].[Region].[Region]" caption="Region" numFmtId="0" hierarchy="2" level="1">
      <sharedItems containsSemiMixedTypes="0" containsNonDate="0" containsString="0"/>
    </cacheField>
    <cacheField name="[Table1].[Category].[Category]" caption="Category" numFmtId="0" hierarchy="5" level="1">
      <sharedItems containsSemiMixedTypes="0" containsNonDate="0" containsString="0"/>
    </cacheField>
  </cacheFields>
  <cacheHierarchies count="39">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Sales_Rep_ID]" caption="Sales_Rep_ID" attribute="1" defaultMemberUniqueName="[Table1].[Sales_Rep_ID].[All]" allUniqueName="[Table1].[Sales_Rep_ID].[All]" dimensionUniqueName="[Table1]" displayFolder="" count="0" memberValueDatatype="13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Net_Sales]" caption="Net_Sales" attribute="1" defaultMemberUniqueName="[Table1].[Net_Sales].[All]" allUniqueName="[Table1].[Net_Sales].[All]" dimensionUniqueName="[Table1]" displayFolder="" count="0" memberValueDatatype="5" unbalanced="0"/>
    <cacheHierarchy uniqueName="[Table1].[Transaction_month]" caption="Transaction_month" attribute="1" defaultMemberUniqueName="[Table1].[Transaction_month].[All]" allUniqueName="[Table1].[Transaction_month].[All]" dimensionUniqueName="[Table1]" displayFolder="" count="0" memberValueDatatype="130" unbalanced="0"/>
    <cacheHierarchy uniqueName="[Table1].[Transaction_Flag]" caption="Transaction_Flag" attribute="1" defaultMemberUniqueName="[Table1].[Transaction_Flag].[All]" allUniqueName="[Table1].[Transaction_Flag].[All]" dimensionUniqueName="[Table1]" displayFolder="" count="0" memberValueDatatype="130" unbalanced="0"/>
    <cacheHierarchy uniqueName="[Table1].[classification_netsales]" caption="classification_netsales" attribute="1" defaultMemberUniqueName="[Table1].[classification_netsales].[All]" allUniqueName="[Table1].[classification_netsales].[All]" dimensionUniqueName="[Table1]" displayFolder="" count="0" memberValueDatatype="130" unbalanced="0"/>
    <cacheHierarchy uniqueName="[Table1].[AND]" caption="AND" attribute="1" defaultMemberUniqueName="[Table1].[AND].[All]" allUniqueName="[Table1].[AND].[All]" dimensionUniqueName="[Table1]" displayFolder="" count="0" memberValueDatatype="11" unbalanced="0"/>
    <cacheHierarchy uniqueName="[Table1].[OR]" caption="OR" attribute="1" defaultMemberUniqueName="[Table1].[OR].[All]" allUniqueName="[Table1].[OR].[All]" dimensionUniqueName="[Table1]" displayFolder="" count="0" memberValueDatatype="11" unbalanced="0"/>
    <cacheHierarchy uniqueName="[Table1].[iferror]" caption="iferror" attribute="1" defaultMemberUniqueName="[Table1].[iferror].[All]" allUniqueName="[Table1].[iferror].[All]" dimensionUniqueName="[Table1]" displayFolder="" count="0" memberValueDatatype="130" unbalanced="0"/>
    <cacheHierarchy uniqueName="[Table1].[T21]" caption="T21" attribute="1" defaultMemberUniqueName="[Table1].[T21].[All]" allUniqueName="[Table1].[T21].[All]" dimensionUniqueName="[Table1]" displayFolder="" count="0" memberValueDatatype="130" unbalanced="0"/>
    <cacheHierarchy uniqueName="[Table1].[T212]" caption="T212" attribute="1" defaultMemberUniqueName="[Table1].[T212].[All]" allUniqueName="[Table1].[T212].[All]" dimensionUniqueName="[Table1]" displayFolder="" count="2" memberValueDatatype="130" unbalanced="0">
      <fieldsUsage count="2">
        <fieldUsage x="-1"/>
        <fieldUsage x="1"/>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Region_category]" caption="Region_category" attribute="1" defaultMemberUniqueName="[Table1].[Region_category].[All]" allUniqueName="[Table1].[Region_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1"/>
        </ext>
      </extLst>
    </cacheHierarchy>
    <cacheHierarchy uniqueName="[Measures].[Average of Net_Sales]" caption="Average of Net_Sales"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Table1"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ana T T K" refreshedDate="46314.40356053241" backgroundQuery="1" createdVersion="8" refreshedVersion="8" minRefreshableVersion="3" recordCount="0" supportSubquery="1" supportAdvancedDrill="1" xr:uid="{5191C8CC-E357-4094-A12A-58EE519C43A6}">
  <cacheSource type="external" connectionId="1"/>
  <cacheFields count="4">
    <cacheField name="[Table1].[Transaction_month].[Transaction_month]" caption="Transaction_month" numFmtId="0" hierarchy="16" level="1">
      <sharedItems count="5">
        <s v="April"/>
        <s v="February"/>
        <s v="January"/>
        <s v="March"/>
        <s v="May"/>
      </sharedItems>
    </cacheField>
    <cacheField name="[Measures].[Sum of Net_Sales]" caption="Sum of Net_Sales" numFmtId="0" hierarchy="32" level="32767"/>
    <cacheField name="[Table1].[Region].[Region]" caption="Region" numFmtId="0" hierarchy="2" level="1">
      <sharedItems containsSemiMixedTypes="0" containsNonDate="0" containsString="0"/>
    </cacheField>
    <cacheField name="[Table1].[Category].[Category]" caption="Category" numFmtId="0" hierarchy="5" level="1">
      <sharedItems containsSemiMixedTypes="0" containsNonDate="0" containsString="0"/>
    </cacheField>
  </cacheFields>
  <cacheHierarchies count="39">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0" memberValueDatatype="13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Net_Sales]" caption="Net_Sales" attribute="1" defaultMemberUniqueName="[Table1].[Net_Sales].[All]" allUniqueName="[Table1].[Net_Sales].[All]" dimensionUniqueName="[Table1]" displayFolder="" count="0" memberValueDatatype="5" unbalanced="0"/>
    <cacheHierarchy uniqueName="[Table1].[Transaction_month]" caption="Transaction_month" attribute="1" defaultMemberUniqueName="[Table1].[Transaction_month].[All]" allUniqueName="[Table1].[Transaction_month].[All]" dimensionUniqueName="[Table1]" displayFolder="" count="2" memberValueDatatype="130" unbalanced="0">
      <fieldsUsage count="2">
        <fieldUsage x="-1"/>
        <fieldUsage x="0"/>
      </fieldsUsage>
    </cacheHierarchy>
    <cacheHierarchy uniqueName="[Table1].[Transaction_Flag]" caption="Transaction_Flag" attribute="1" defaultMemberUniqueName="[Table1].[Transaction_Flag].[All]" allUniqueName="[Table1].[Transaction_Flag].[All]" dimensionUniqueName="[Table1]" displayFolder="" count="0" memberValueDatatype="130" unbalanced="0"/>
    <cacheHierarchy uniqueName="[Table1].[classification_netsales]" caption="classification_netsales" attribute="1" defaultMemberUniqueName="[Table1].[classification_netsales].[All]" allUniqueName="[Table1].[classification_netsales].[All]" dimensionUniqueName="[Table1]" displayFolder="" count="0" memberValueDatatype="130" unbalanced="0"/>
    <cacheHierarchy uniqueName="[Table1].[AND]" caption="AND" attribute="1" defaultMemberUniqueName="[Table1].[AND].[All]" allUniqueName="[Table1].[AND].[All]" dimensionUniqueName="[Table1]" displayFolder="" count="0" memberValueDatatype="11" unbalanced="0"/>
    <cacheHierarchy uniqueName="[Table1].[OR]" caption="OR" attribute="1" defaultMemberUniqueName="[Table1].[OR].[All]" allUniqueName="[Table1].[OR].[All]" dimensionUniqueName="[Table1]" displayFolder="" count="0" memberValueDatatype="11" unbalanced="0"/>
    <cacheHierarchy uniqueName="[Table1].[iferror]" caption="iferror" attribute="1" defaultMemberUniqueName="[Table1].[iferror].[All]" allUniqueName="[Table1].[iferror].[All]" dimensionUniqueName="[Table1]" displayFolder="" count="0" memberValueDatatype="130" unbalanced="0"/>
    <cacheHierarchy uniqueName="[Table1].[T21]" caption="T21" attribute="1" defaultMemberUniqueName="[Table1].[T21].[All]" allUniqueName="[Table1].[T21].[All]" dimensionUniqueName="[Table1]" displayFolder="" count="0" memberValueDatatype="130" unbalanced="0"/>
    <cacheHierarchy uniqueName="[Table1].[T212]" caption="T212" attribute="1" defaultMemberUniqueName="[Table1].[T212].[All]" allUniqueName="[Table1].[T212].[All]" dimensionUniqueName="[Table1]"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Region_category]" caption="Region_category" attribute="1" defaultMemberUniqueName="[Table1].[Region_category].[All]" allUniqueName="[Table1].[Region_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1"/>
        </ext>
      </extLst>
    </cacheHierarchy>
    <cacheHierarchy uniqueName="[Measures].[Average of Net_Sales]" caption="Average of Net_Sales"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Table1"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dana T T K" refreshedDate="46311.645358796297" backgroundQuery="1" createdVersion="3" refreshedVersion="8" minRefreshableVersion="3" recordCount="0" supportSubquery="1" supportAdvancedDrill="1" xr:uid="{943841A6-4109-4E5D-A669-6339613BD475}">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0" memberValueDatatype="130" unbalanced="0"/>
    <cacheHierarchy uniqueName="[Table1].[Gross sales]" caption="Gross sales" attribute="1" defaultMemberUniqueName="[Table1].[Gross sales].[All]" allUniqueName="[Table1].[Gross sales].[All]" dimensionUniqueName="[Table1]" displayFolder="" count="0" memberValueDatatype="20" unbalanced="0"/>
    <cacheHierarchy uniqueName="[Table1].[Discount_Amount]" caption="Discount_Amount" attribute="1" defaultMemberUniqueName="[Table1].[Discount_Amount].[All]" allUniqueName="[Table1].[Discount_Amount].[All]" dimensionUniqueName="[Table1]" displayFolder="" count="0" memberValueDatatype="5" unbalanced="0"/>
    <cacheHierarchy uniqueName="[Table1].[Net_Sales]" caption="Net_Sales" attribute="1" defaultMemberUniqueName="[Table1].[Net_Sales].[All]" allUniqueName="[Table1].[Net_Sales].[All]" dimensionUniqueName="[Table1]" displayFolder="" count="0" memberValueDatatype="5" unbalanced="0"/>
    <cacheHierarchy uniqueName="[Table1].[Transaction_month]" caption="Transaction_month" attribute="1" defaultMemberUniqueName="[Table1].[Transaction_month].[All]" allUniqueName="[Table1].[Transaction_month].[All]" dimensionUniqueName="[Table1]" displayFolder="" count="0" memberValueDatatype="130" unbalanced="0"/>
    <cacheHierarchy uniqueName="[Table1].[Transaction_Flag]" caption="Transaction_Flag" attribute="1" defaultMemberUniqueName="[Table1].[Transaction_Flag].[All]" allUniqueName="[Table1].[Transaction_Flag].[All]" dimensionUniqueName="[Table1]" displayFolder="" count="0" memberValueDatatype="130" unbalanced="0"/>
    <cacheHierarchy uniqueName="[Table1].[classification_netsales]" caption="classification_netsales" attribute="1" defaultMemberUniqueName="[Table1].[classification_netsales].[All]" allUniqueName="[Table1].[classification_netsales].[All]" dimensionUniqueName="[Table1]" displayFolder="" count="0" memberValueDatatype="130" unbalanced="0"/>
    <cacheHierarchy uniqueName="[Table1].[AND]" caption="AND" attribute="1" defaultMemberUniqueName="[Table1].[AND].[All]" allUniqueName="[Table1].[AND].[All]" dimensionUniqueName="[Table1]" displayFolder="" count="0" memberValueDatatype="11" unbalanced="0"/>
    <cacheHierarchy uniqueName="[Table1].[OR]" caption="OR" attribute="1" defaultMemberUniqueName="[Table1].[OR].[All]" allUniqueName="[Table1].[OR].[All]" dimensionUniqueName="[Table1]" displayFolder="" count="0" memberValueDatatype="11" unbalanced="0"/>
    <cacheHierarchy uniqueName="[Table1].[iferror]" caption="iferror" attribute="1" defaultMemberUniqueName="[Table1].[iferror].[All]" allUniqueName="[Table1].[iferror].[All]" dimensionUniqueName="[Table1]" displayFolder="" count="0" memberValueDatatype="130" unbalanced="0"/>
    <cacheHierarchy uniqueName="[Table1].[T21]" caption="T21" attribute="1" defaultMemberUniqueName="[Table1].[T21].[All]" allUniqueName="[Table1].[T21].[All]" dimensionUniqueName="[Table1]" displayFolder="" count="0" memberValueDatatype="130" unbalanced="0"/>
    <cacheHierarchy uniqueName="[Table1].[T212]" caption="T212" attribute="1" defaultMemberUniqueName="[Table1].[T212].[All]" allUniqueName="[Table1].[T212].[All]" dimensionUniqueName="[Table1]"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Column1]" caption="Column1" attribute="1" defaultMemberUniqueName="[Table1].[Column1].[All]" allUniqueName="[Table1].[Column1].[All]" dimensionUniqueName="[Table1]" displayFolder="" count="0" memberValueDatatype="130" unbalanced="0"/>
    <cacheHierarchy uniqueName="[Table1].[Region_category]" caption="Region_category" attribute="1" defaultMemberUniqueName="[Table1].[Region_category].[All]" allUniqueName="[Table1].[Region_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Sales]" caption="Sum of Net_Sales" measure="1" displayFolder="" measureGroup="Table1" count="0" hidden="1">
      <extLst>
        <ext xmlns:x15="http://schemas.microsoft.com/office/spreadsheetml/2010/11/main" uri="{B97F6D7D-B522-45F9-BDA1-12C45D357490}">
          <x15:cacheHierarchy aggregatedColumn="15"/>
        </ext>
      </extLst>
    </cacheHierarchy>
    <cacheHierarchy uniqueName="[Measures].[Sum of Month]" caption="Sum of Month"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1"/>
        </ext>
      </extLst>
    </cacheHierarchy>
    <cacheHierarchy uniqueName="[Measures].[Average of Net_Sales]" caption="Average of Net_Sales" measure="1" displayFolder="" measureGroup="Table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899287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C7763-D597-48BF-B054-6DE4E35E887B}" name="PivotTable13" cacheId="707" applyNumberFormats="0" applyBorderFormats="0" applyFontFormats="0" applyPatternFormats="0" applyAlignmentFormats="0" applyWidthHeightFormats="1" dataCaption="Values" tag="ed78b5a7-4776-4fbd-8e41-05dccee84eae" updatedVersion="8" minRefreshableVersion="3" useAutoFormatting="1" subtotalHiddenItems="1" itemPrintTitles="1" createdVersion="8" indent="0" outline="1" outlineData="1" multipleFieldFilters="0" chartFormat="13">
  <location ref="A25:F31" firstHeaderRow="1" firstDataRow="2" firstDataCol="1"/>
  <pivotFields count="5">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0"/>
  </colFields>
  <colItems count="5">
    <i>
      <x/>
    </i>
    <i>
      <x v="1"/>
    </i>
    <i>
      <x v="2"/>
    </i>
    <i>
      <x v="3"/>
    </i>
    <i t="grand">
      <x/>
    </i>
  </colItems>
  <dataFields count="1">
    <dataField name="Sum of Net_Sales" fld="2" baseField="0" baseItem="0"/>
  </dataFields>
  <chartFormats count="8">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7" format="3" series="1">
      <pivotArea type="data" outline="0" fieldPosition="0">
        <references count="2">
          <reference field="4294967294" count="1" selected="0">
            <x v="0"/>
          </reference>
          <reference field="0" count="1" selected="0">
            <x v="3"/>
          </reference>
        </references>
      </pivotArea>
    </chartFormat>
    <chartFormat chart="12" format="8" series="1">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2">
          <reference field="4294967294" count="1" selected="0">
            <x v="0"/>
          </reference>
          <reference field="0" count="1" selected="0">
            <x v="1"/>
          </reference>
        </references>
      </pivotArea>
    </chartFormat>
    <chartFormat chart="12" format="10" series="1">
      <pivotArea type="data" outline="0" fieldPosition="0">
        <references count="2">
          <reference field="4294967294" count="1" selected="0">
            <x v="0"/>
          </reference>
          <reference field="0" count="1" selected="0">
            <x v="2"/>
          </reference>
        </references>
      </pivotArea>
    </chartFormat>
    <chartFormat chart="12" format="11" series="1">
      <pivotArea type="data" outline="0" fieldPosition="0">
        <references count="2">
          <reference field="4294967294" count="1" selected="0">
            <x v="0"/>
          </reference>
          <reference field="0" count="1" selected="0">
            <x v="3"/>
          </reference>
        </references>
      </pivotArea>
    </chartFormat>
  </chartFormats>
  <pivotHierarchies count="39">
    <pivotHierarchy dragToData="1"/>
    <pivotHierarchy dragToData="1"/>
    <pivotHierarchy multipleItemSelectionAllowed="1" dragToData="1">
      <members count="1" level="1">
        <member name="[Table1].[Region].&amp;[ north]"/>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_Transactions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904E6-4C71-4197-BF6E-07C58F24F078}" name="PivotTable11" cacheId="704" applyNumberFormats="0" applyBorderFormats="0" applyFontFormats="0" applyPatternFormats="0" applyAlignmentFormats="0" applyWidthHeightFormats="1" dataCaption="Values" tag="a761332f-6487-41aa-a667-2652e62ac37a" updatedVersion="8" minRefreshableVersion="3" subtotalHiddenItems="1" itemPrintTitles="1" createdVersion="8" indent="0" outline="1" outlineData="1" multipleFieldFilters="0" chartFormat="17">
  <location ref="A3:B14" firstHeaderRow="1" firstDataRow="1" firstDataCol="1"/>
  <pivotFields count="4">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Net_Sales" fld="2" baseField="0" baseItem="0"/>
  </dataFields>
  <chartFormats count="2">
    <chartFormat chart="11" format="5"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members count="1" level="1">
        <member name="[Table1].[Region].&amp;[ north]"/>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7"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_Transactions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9B8CD-256E-464D-B0C2-A156C7FF94BD}" name="PivotTable14" cacheId="710" applyNumberFormats="0" applyBorderFormats="0" applyFontFormats="0" applyPatternFormats="0" applyAlignmentFormats="0" applyWidthHeightFormats="1" dataCaption="Values" tag="8939c2f9-7872-44d2-a9af-b9793199d5f1" updatedVersion="8" minRefreshableVersion="3" useAutoFormatting="1" subtotalHiddenItems="1" itemPrintTitles="1" createdVersion="8" indent="0" outline="1" outlineData="1" multipleFieldFilters="0" chartFormat="24">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Net_Sales" fld="1" baseField="0" baseItem="0"/>
  </dataFields>
  <chartFormats count="3">
    <chartFormat chart="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members count="1" level="1">
        <member name="[Table1].[Region].&amp;[ north]"/>
      </members>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_Transactions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E9AEAC-82A4-4282-8D5A-8A754B73C2BF}" sourceName="[Table1].[Category]">
  <pivotTables>
    <pivotTable tabId="10" name="PivotTable11"/>
    <pivotTable tabId="10" name="PivotTable13"/>
    <pivotTable tabId="11" name="PivotTable14"/>
  </pivotTables>
  <data>
    <olap pivotCacheId="1889928719">
      <levels count="2">
        <level uniqueName="[Table1].[Category].[(All)]" sourceCaption="(All)" count="0"/>
        <level uniqueName="[Table1].[Category].[Category]" sourceCaption="Category" count="5">
          <ranges>
            <range startItem="0">
              <i n="[Table1].[Category].&amp;[Electronics]" c="Electronics"/>
              <i n="[Table1].[Category].&amp;[Fashion]" c="Fashion"/>
              <i n="[Table1].[Category].&amp;[Grocery]" c="Grocery"/>
              <i n="[Table1].[Category].&amp;[Home]" c="Home"/>
              <i n="[Table1].[Category].&amp;[Office]" c="Office"/>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7C826E2-9C17-47A9-A1F0-76FAF25AE5E8}" sourceName="[Table1].[Sales_Channel]">
  <pivotTables>
    <pivotTable tabId="10" name="PivotTable11"/>
    <pivotTable tabId="10" name="PivotTable13"/>
    <pivotTable tabId="11" name="PivotTable14"/>
  </pivotTables>
  <data>
    <olap pivotCacheId="1889928719">
      <levels count="2">
        <level uniqueName="[Table1].[Sales_Channel].[(All)]" sourceCaption="(All)" count="0"/>
        <level uniqueName="[Table1].[Sales_Channel].[Sales_Channel]" sourceCaption="Sales_Channel" count="3">
          <ranges>
            <range startItem="0">
              <i n="[Table1].[Sales_Channel].&amp;[Online]" c="Online"/>
              <i n="[Table1].[Sales_Channel].&amp;[Retail]" c="Retail"/>
              <i n="[Table1].[Sales_Channel].&amp;[Wholesale]" c="Wholesale"/>
            </range>
          </ranges>
        </level>
      </levels>
      <selections count="1">
        <selection n="[Table1].[Sales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1F39C1A-9044-4352-92A1-6EF5FEA3A745}" sourceName="[Table1].[Status]">
  <pivotTables>
    <pivotTable tabId="10" name="PivotTable11"/>
    <pivotTable tabId="10" name="PivotTable13"/>
    <pivotTable tabId="11" name="PivotTable14"/>
  </pivotTables>
  <data>
    <olap pivotCacheId="1889928719">
      <levels count="2">
        <level uniqueName="[Table1].[Status].[(All)]" sourceCaption="(All)" count="0"/>
        <level uniqueName="[Table1].[Status].[Status]" sourceCaption="Status" count="4">
          <ranges>
            <range startItem="0">
              <i n="[Table1].[Status].&amp;[Cancelled]" c="Cancelled"/>
              <i n="[Table1].[Status].&amp;[Completed]" c="Completed"/>
              <i n="[Table1].[Status].&amp;[Pending]" c="Pending"/>
              <i n="[Table1].[Status].&amp;[Refunded]" c="Refunded"/>
            </range>
          </ranges>
        </level>
      </levels>
      <selections count="1">
        <selection n="[Table1].[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212" xr10:uid="{33646592-08E7-4C95-895A-99452EC86087}" sourceName="[Table1].[T212]">
  <pivotTables>
    <pivotTable tabId="10" name="PivotTable11"/>
    <pivotTable tabId="10" name="PivotTable13"/>
    <pivotTable tabId="11" name="PivotTable14"/>
  </pivotTables>
  <data>
    <olap pivotCacheId="1889928719">
      <levels count="2">
        <level uniqueName="[Table1].[T212].[(All)]" sourceCaption="(All)" count="0"/>
        <level uniqueName="[Table1].[T212].[T212]" sourceCaption="T212" count="4">
          <ranges>
            <range startItem="0">
              <i n="[Table1].[T212].&amp;[East]" c="East"/>
              <i n="[Table1].[T212].&amp;[North]" c="North"/>
              <i n="[Table1].[T212].&amp;[South]" c="South"/>
              <i n="[Table1].[T212].&amp;[West]" c="West"/>
            </range>
          </ranges>
        </level>
      </levels>
      <selections count="1">
        <selection n="[Table1].[T21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C882A61-5E84-4BDF-9444-2355019E55B4}" cache="Slicer_Category" caption="Category" level="1" rowHeight="241300"/>
  <slicer name="Sales_Channel" xr10:uid="{C13719A0-E33C-4ED6-8DA2-EA10DD953D56}" cache="Slicer_Sales_Channel" caption="Sales_Channel" level="1" rowHeight="241300"/>
  <slicer name="Status" xr10:uid="{4C8A1E7E-698A-4711-88CF-72AEF31FEE35}" cache="Slicer_Status" caption="Status" level="1" rowHeight="241300"/>
  <slicer name="T212" xr10:uid="{F0918712-0840-4FC4-BE1B-A96C03B8A9E8}" cache="Slicer_T212"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2B7DA65-939F-4415-A5D2-FB4E6D6F72BB}" cache="Slicer_Category" caption="Category" level="1" style="Slicer Style 6" rowHeight="241300"/>
  <slicer name="Sales_Channel 1" xr10:uid="{22A5EA10-1917-4E4A-BB2D-D2E182E39C51}" cache="Slicer_Sales_Channel" caption="Sales_Channel" level="1" style="Slicer Style 6" rowHeight="241300"/>
  <slicer name="Status 1" xr10:uid="{0F82A723-4188-49EB-84D5-01B4A48869F3}" cache="Slicer_Status" caption="Status" level="1" style="Slicer Style 6" rowHeight="241300"/>
  <slicer name="T212 1" xr10:uid="{49FC4EEB-0A67-4F2E-BFE9-6239B74D7554}" cache="Slicer_T212" caption="Region" level="1" style="Slicer Style 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B544C-03A9-4288-9652-D20490D82047}" name="Table1" displayName="Table1" ref="A1:AB77" totalsRowShown="0" headerRowDxfId="106" dataDxfId="104" headerRowBorderDxfId="105" tableBorderDxfId="103" totalsRowBorderDxfId="102">
  <autoFilter ref="A1:AB77" xr:uid="{2FAB544C-03A9-4288-9652-D20490D82047}"/>
  <tableColumns count="28">
    <tableColumn id="1" xr3:uid="{EA7C4E49-79AA-4529-B843-DA5E0EBA4DAB}" name="Transaction_ID" dataDxfId="101"/>
    <tableColumn id="2" xr3:uid="{55D38B68-1C52-44B9-9C13-BB1546493EB0}" name="Date" dataDxfId="100"/>
    <tableColumn id="3" xr3:uid="{F5766E35-B676-4A7F-B1F0-8D8C5EB04338}" name="Region" dataDxfId="99"/>
    <tableColumn id="4" xr3:uid="{32D46E10-68E7-4A5B-8E9D-47ABC3426667}" name="Sales_Channel" dataDxfId="98"/>
    <tableColumn id="5" xr3:uid="{5CCCEE6C-7180-4F06-8C64-9F551CBA1929}" name="Customer_Name" dataDxfId="97"/>
    <tableColumn id="6" xr3:uid="{A8FDE557-B494-4D97-99D6-3657606CFF02}" name="Category" dataDxfId="96"/>
    <tableColumn id="7" xr3:uid="{93DE741A-B1F9-4CE2-84E6-AC0CAC9D45E7}" name="Product" dataDxfId="95"/>
    <tableColumn id="8" xr3:uid="{810D883C-15ED-4457-B6BB-5D1847C085E4}" name="Quantity" dataDxfId="94"/>
    <tableColumn id="9" xr3:uid="{9CA290DF-292F-444D-86F1-7D6745C7A00C}" name="Unit_Price_INR" dataDxfId="93"/>
    <tableColumn id="10" xr3:uid="{F7F1198A-3330-443A-9B95-3DEFDC0D4699}" name="Discount_Rate" dataDxfId="92"/>
    <tableColumn id="11" xr3:uid="{CA7C8C80-53A9-4AA7-855D-E8A1DAF566F5}" name="Payment_Method" dataDxfId="91"/>
    <tableColumn id="12" xr3:uid="{B1F54BC3-6689-4300-9384-F5557D726F72}" name="Status" dataDxfId="90"/>
    <tableColumn id="13" xr3:uid="{7DD16555-82E4-4071-A572-71F0230BBE28}" name="Sales_Rep_ID" dataDxfId="89"/>
    <tableColumn id="14" xr3:uid="{205EED37-E0FE-499F-819C-A24F76F97993}" name="Gross sales" dataDxfId="88">
      <calculatedColumnFormula>Table1[[#This Row],[Quantity]]*Table1[[#This Row],[Unit_Price_INR]]</calculatedColumnFormula>
    </tableColumn>
    <tableColumn id="15" xr3:uid="{14D18FE1-5D64-4699-A5AC-C56F3BBA78B2}" name="Discount_Amount" dataDxfId="87">
      <calculatedColumnFormula>Table1[[#This Row],[Gross sales]]*Table1[[#This Row],[Discount_Rate]]</calculatedColumnFormula>
    </tableColumn>
    <tableColumn id="16" xr3:uid="{D4E62E45-BB20-4268-BED4-368C68103272}" name="Net_Sales" dataDxfId="86">
      <calculatedColumnFormula>Table1[[#This Row],[Gross sales]]-Table1[[#This Row],[Discount_Amount]]</calculatedColumnFormula>
    </tableColumn>
    <tableColumn id="17" xr3:uid="{20A6B796-40D0-49A5-B407-5BD58F54626E}" name="Transaction_month" dataDxfId="85">
      <calculatedColumnFormula>TEXT(Table1[[#This Row],[Date]],"mmmm")</calculatedColumnFormula>
    </tableColumn>
    <tableColumn id="18" xr3:uid="{937CDD67-E4C6-4C48-A690-A9EAFD2D57D8}" name="Transaction_Flag" dataDxfId="84">
      <calculatedColumnFormula>IF(OR(Table1[[#This Row],[Status]]="Pending",Table1[[#This Row],[Status]]="Refunded"),"Review","OK")</calculatedColumnFormula>
    </tableColumn>
    <tableColumn id="19" xr3:uid="{DCBD417B-EFE9-4986-8FED-7FE5D5E1604D}" name="classification_netsales" dataDxfId="83">
      <calculatedColumnFormula>IF(Table1[[#This Row],[Net_Sales]]&gt;25000,"Hgh",IF(Table1[[#This Row],[Net_Sales]]&gt;10000,"Medium","Low"))</calculatedColumnFormula>
    </tableColumn>
    <tableColumn id="20" xr3:uid="{642E9C71-558B-45D6-8762-4969C8058F03}" name="AND" dataDxfId="82">
      <calculatedColumnFormula>AND(Table1[[#This Row],[Quantity]]&gt;=5,Table1[[#This Row],[Discount_Rate]]&gt;=10%)</calculatedColumnFormula>
    </tableColumn>
    <tableColumn id="21" xr3:uid="{4EB423C0-D62F-45B6-812C-B4A2A7CC2CC2}" name="OR" dataDxfId="81">
      <calculatedColumnFormula>OR(Table1[[#This Row],[Payment_Method]]="UPI",Table1[[#This Row],[Payment_Method]]="Cash")</calculatedColumnFormula>
    </tableColumn>
    <tableColumn id="22" xr3:uid="{326DE54D-AE9A-4AF4-B474-F934BDDBE5F6}" name="iferror" dataDxfId="80">
      <calculatedColumnFormula>IFERROR(Table1[[#This Row],[Net_Sales]]/Table1[[#This Row],[Quantity]],"ERROR")</calculatedColumnFormula>
    </tableColumn>
    <tableColumn id="23" xr3:uid="{C54134C8-D2D9-4969-8046-4ECE297FEA08}" name="T21" dataDxfId="79">
      <calculatedColumnFormula>PROPER(TRIM(Table1[[#This Row],[Customer_Name]]))</calculatedColumnFormula>
    </tableColumn>
    <tableColumn id="24" xr3:uid="{96779A94-59AB-4606-907C-7133300E401C}" name="T22" dataDxfId="78">
      <calculatedColumnFormula>PROPER(TRIM(Table1[[#This Row],[Region]]))</calculatedColumnFormula>
    </tableColumn>
    <tableColumn id="25" xr3:uid="{96FD9CB0-DF8C-45EE-9BCE-9E6D015668EF}" name="Year" dataDxfId="77">
      <calculatedColumnFormula>YEAR(Table1[[#This Row],[Date]])</calculatedColumnFormula>
    </tableColumn>
    <tableColumn id="26" xr3:uid="{E9648580-FCE6-49E5-BB5C-9FEE4EC68101}" name="Month" dataDxfId="76">
      <calculatedColumnFormula>MONTH(Table1[[#This Row],[Date]])</calculatedColumnFormula>
    </tableColumn>
    <tableColumn id="27" xr3:uid="{68A7ECF2-CFF9-4ECB-8E5D-02E384D25E92}" name="id" dataDxfId="75">
      <calculatedColumnFormula>MID(Table1[[#This Row],[Transaction_ID]],4,7)</calculatedColumnFormula>
    </tableColumn>
    <tableColumn id="28" xr3:uid="{B44DBA8C-322F-4C7E-AA96-2FFB82742F60}" name="Region_category" dataDxfId="74">
      <calculatedColumnFormula>_xlfn.CONCAT(Table1[[#This Row],[Region]],"-",Table1[[#This Row],[Category]])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ADFC00-AC9F-4958-916C-C12D0D3D1444}" name="Table16" displayName="Table16" ref="A1:AB77" totalsRowShown="0" headerRowDxfId="73" dataDxfId="71" headerRowBorderDxfId="72" tableBorderDxfId="70" totalsRowBorderDxfId="69">
  <autoFilter ref="A1:AB77" xr:uid="{34ADFC00-AC9F-4958-916C-C12D0D3D1444}">
    <filterColumn colId="11">
      <filters>
        <filter val="Completed"/>
      </filters>
    </filterColumn>
    <filterColumn colId="15">
      <customFilters>
        <customFilter operator="greaterThan" val="10000"/>
      </customFilters>
    </filterColumn>
  </autoFilter>
  <tableColumns count="28">
    <tableColumn id="1" xr3:uid="{B10CF28C-FF61-4D65-9B48-03D81886A1D3}" name="Transaction_ID" dataDxfId="68"/>
    <tableColumn id="2" xr3:uid="{65630929-EC72-44E9-91C5-DE2DA621C966}" name="Date" dataDxfId="67"/>
    <tableColumn id="3" xr3:uid="{017A85D5-66E6-40E7-9D79-3E71C1348100}" name="Region" dataDxfId="66"/>
    <tableColumn id="4" xr3:uid="{1566A2AC-B502-40F8-8248-70015DA79920}" name="Sales_Channel" dataDxfId="65"/>
    <tableColumn id="5" xr3:uid="{BEA4B054-A7A2-4D06-B504-68A70EBE5ED1}" name="Customer_Name" dataDxfId="64"/>
    <tableColumn id="6" xr3:uid="{1095EA53-D66A-40A2-A797-817EB499BB03}" name="Category" dataDxfId="63"/>
    <tableColumn id="7" xr3:uid="{6A2BCAD6-6507-44F1-9637-40D83CFC8357}" name="Product" dataDxfId="62"/>
    <tableColumn id="8" xr3:uid="{0B7B178A-6D3D-4AB0-BC7A-BF45C0B56271}" name="Quantity" dataDxfId="61"/>
    <tableColumn id="9" xr3:uid="{D2736994-8D1D-4EC3-B035-25E0054C38C7}" name="Unit_Price_INR" dataDxfId="60"/>
    <tableColumn id="10" xr3:uid="{60BE0379-37EC-4196-BAC4-EE53C4263151}" name="Discount_Rate" dataDxfId="59"/>
    <tableColumn id="11" xr3:uid="{876B28D2-F4F1-4287-A29F-02EEF490EE16}" name="Payment_Method" dataDxfId="58"/>
    <tableColumn id="12" xr3:uid="{C96C7CBD-8DC6-499B-BE41-2540CAA500D3}" name="Status" dataDxfId="57"/>
    <tableColumn id="13" xr3:uid="{6F3F6AAD-5A73-4A51-B2E9-4B0CC5F9602C}" name="Sales_Rep_ID" dataDxfId="56"/>
    <tableColumn id="14" xr3:uid="{CCBA9142-CB28-43EE-882A-648AE589D936}" name="Gross sales" dataDxfId="55">
      <calculatedColumnFormula>Table16[[#This Row],[Quantity]]*Table16[[#This Row],[Unit_Price_INR]]</calculatedColumnFormula>
    </tableColumn>
    <tableColumn id="15" xr3:uid="{B93309FB-D4F0-4EA6-AD07-58E394DC48BF}" name="Discount_Amount" dataDxfId="54">
      <calculatedColumnFormula>Table16[[#This Row],[Gross sales]]*Table16[[#This Row],[Discount_Rate]]</calculatedColumnFormula>
    </tableColumn>
    <tableColumn id="16" xr3:uid="{DF4B6C3B-EFF5-4E57-9AC8-C8A91214EFCF}" name="Net_Sales" dataDxfId="53">
      <calculatedColumnFormula>Table16[[#This Row],[Gross sales]]-Table16[[#This Row],[Discount_Amount]]</calculatedColumnFormula>
    </tableColumn>
    <tableColumn id="17" xr3:uid="{0ED6D406-2756-4952-AE6E-F71E2D53DF57}" name="Transaction_month" dataDxfId="52">
      <calculatedColumnFormula>TEXT(Table16[[#This Row],[Date]],"mmmm")</calculatedColumnFormula>
    </tableColumn>
    <tableColumn id="18" xr3:uid="{EF695ECD-75A6-4F57-ADCA-A9074DED9A70}" name="Transaction_Flag" dataDxfId="51">
      <calculatedColumnFormula>IF(OR(Table16[[#This Row],[Status]]="Pending",Table16[[#This Row],[Status]]="Refunded"),"Review","OK")</calculatedColumnFormula>
    </tableColumn>
    <tableColumn id="19" xr3:uid="{0ED16960-1DEF-48F7-B4E2-E3865C029A81}" name="classification_netsales" dataDxfId="50">
      <calculatedColumnFormula>IF(Table16[[#This Row],[Net_Sales]]&gt;25000,"Hgh",IF(Table16[[#This Row],[Net_Sales]]&gt;10000,"Medium","Low"))</calculatedColumnFormula>
    </tableColumn>
    <tableColumn id="20" xr3:uid="{64A009F8-7B8A-456A-B14A-F8A2AF86AAB1}" name="AND" dataDxfId="49">
      <calculatedColumnFormula>AND(Table16[[#This Row],[Quantity]]&gt;=5,Table16[[#This Row],[Discount_Rate]]&gt;=10%)</calculatedColumnFormula>
    </tableColumn>
    <tableColumn id="21" xr3:uid="{60C18DDB-967F-492D-8293-B6FEB387AA9E}" name="OR" dataDxfId="48">
      <calculatedColumnFormula>OR(Table16[[#This Row],[Payment_Method]]="UPI",Table16[[#This Row],[Payment_Method]]="Cash")</calculatedColumnFormula>
    </tableColumn>
    <tableColumn id="22" xr3:uid="{9ABA2E73-8B16-4CDD-BEDB-FDC067B0B735}" name="iferror" dataDxfId="47">
      <calculatedColumnFormula>IFERROR(Table16[[#This Row],[Net_Sales]]/Table16[[#This Row],[Quantity]],"ERROR")</calculatedColumnFormula>
    </tableColumn>
    <tableColumn id="23" xr3:uid="{631433B4-8A14-499B-AA32-77DEA1AB3987}" name="T21" dataDxfId="46">
      <calculatedColumnFormula>PROPER(TRIM(Table16[[#This Row],[Customer_Name]]))</calculatedColumnFormula>
    </tableColumn>
    <tableColumn id="24" xr3:uid="{B9DFD9E4-BD9E-44AB-ABF3-9521F1FCCB9B}" name="T22" dataDxfId="45">
      <calculatedColumnFormula>PROPER(TRIM(Table16[[#This Row],[Region]]))</calculatedColumnFormula>
    </tableColumn>
    <tableColumn id="25" xr3:uid="{10E65493-13FC-4D2E-A1FE-20B4CDC5879A}" name="Year" dataDxfId="44">
      <calculatedColumnFormula>YEAR(Table16[[#This Row],[Date]])</calculatedColumnFormula>
    </tableColumn>
    <tableColumn id="26" xr3:uid="{4373E68E-DFEF-40F5-9F01-33162C250723}" name="Month" dataDxfId="43">
      <calculatedColumnFormula>MONTH(Table16[[#This Row],[Date]])</calculatedColumnFormula>
    </tableColumn>
    <tableColumn id="27" xr3:uid="{E1A650FF-718E-46DD-A648-B59287421067}" name="id" dataDxfId="42">
      <calculatedColumnFormula>MID(Table16[[#This Row],[Transaction_ID]],4,7)</calculatedColumnFormula>
    </tableColumn>
    <tableColumn id="28" xr3:uid="{F9A374C8-677A-421A-AD81-A4083A04C506}" name="Region_category" dataDxfId="41">
      <calculatedColumnFormula>_xlfn.CONCAT(Table16[[#This Row],[Region]],"-",Table16[[#This Row],[Category]])</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65E1D-C468-4F7D-8520-1F74EEF078DF}" name="Table14" displayName="Table14" ref="A1:AB77" totalsRowShown="0" headerRowDxfId="40" dataDxfId="38" headerRowBorderDxfId="39" tableBorderDxfId="37" totalsRowBorderDxfId="36">
  <autoFilter ref="A1:AB77" xr:uid="{2BF65E1D-C468-4F7D-8520-1F74EEF078DF}"/>
  <sortState xmlns:xlrd2="http://schemas.microsoft.com/office/spreadsheetml/2017/richdata2" ref="A2:AB77">
    <sortCondition descending="1" ref="P2:P78"/>
  </sortState>
  <tableColumns count="28">
    <tableColumn id="1" xr3:uid="{C1D3E86A-2FCC-46EA-BBB9-00C37E2130D3}" name="Transaction_ID" dataDxfId="35"/>
    <tableColumn id="2" xr3:uid="{9C20B08A-4715-4D61-B396-DD82FD04DD9F}" name="Date" dataDxfId="34"/>
    <tableColumn id="3" xr3:uid="{88BF8FC1-97A9-47CD-90A2-3F482A283A47}" name="Region" dataDxfId="33"/>
    <tableColumn id="4" xr3:uid="{7750FDC0-F937-4518-9BA8-2E487C6418FD}" name="Sales_Channel" dataDxfId="32"/>
    <tableColumn id="5" xr3:uid="{05284990-4B94-4624-B22D-29B931873781}" name="Customer_Name" dataDxfId="31"/>
    <tableColumn id="6" xr3:uid="{40614D0B-1354-4DD3-B5E3-91C2510BFDAC}" name="Category" dataDxfId="30"/>
    <tableColumn id="7" xr3:uid="{B1D64E6E-A885-4230-B44A-A774932ECF84}" name="Product" dataDxfId="29"/>
    <tableColumn id="8" xr3:uid="{FAFF0EDA-C5D0-4846-A973-A70C2831C595}" name="Quantity" dataDxfId="28"/>
    <tableColumn id="9" xr3:uid="{9756510D-BB05-4C0F-A516-320543AA6AB2}" name="Unit_Price_INR" dataDxfId="27"/>
    <tableColumn id="10" xr3:uid="{E13A1A23-54C8-4B00-85AC-8C8ECEFA6F52}" name="Discount_Rate" dataDxfId="26"/>
    <tableColumn id="11" xr3:uid="{8DC207BB-5309-4C43-87CA-269F8FBE811D}" name="Payment_Method" dataDxfId="25"/>
    <tableColumn id="12" xr3:uid="{95432388-217B-4E5D-BCED-E46EFC95FF08}" name="Status" dataDxfId="24"/>
    <tableColumn id="13" xr3:uid="{E06D8B49-C097-4A96-AD9A-7E118E9D9489}" name="Sales_Rep_ID" dataDxfId="23"/>
    <tableColumn id="14" xr3:uid="{8ECD9172-A54B-4919-AB2C-D6CE4871BDF4}" name="Gross sales" dataDxfId="22">
      <calculatedColumnFormula>Table14[[#This Row],[Quantity]]*Table14[[#This Row],[Unit_Price_INR]]</calculatedColumnFormula>
    </tableColumn>
    <tableColumn id="15" xr3:uid="{F47773E6-882E-48F7-9E75-1253BB1C7343}" name="Discount_Amount" dataDxfId="21">
      <calculatedColumnFormula>Table14[[#This Row],[Gross sales]]*Table14[[#This Row],[Discount_Rate]]</calculatedColumnFormula>
    </tableColumn>
    <tableColumn id="16" xr3:uid="{7DDFCCB2-C168-472C-A040-F8CB8C4A0C2E}" name="Net_Sales" dataDxfId="20">
      <calculatedColumnFormula>Table14[[#This Row],[Gross sales]]-Table14[[#This Row],[Discount_Amount]]</calculatedColumnFormula>
    </tableColumn>
    <tableColumn id="17" xr3:uid="{1F4675CE-B40C-43DE-A3A3-F590724F8B5B}" name="Transaction_month" dataDxfId="19">
      <calculatedColumnFormula>TEXT(Table14[[#This Row],[Date]],"mmmm")</calculatedColumnFormula>
    </tableColumn>
    <tableColumn id="18" xr3:uid="{1F9E3C23-B7C2-4229-8C36-685E110DBD7D}" name="Transaction_Flag" dataDxfId="18">
      <calculatedColumnFormula>IF(OR(Table14[[#This Row],[Status]]="Pending",Table14[[#This Row],[Status]]="Refunded"),"Review","OK")</calculatedColumnFormula>
    </tableColumn>
    <tableColumn id="19" xr3:uid="{9AE88AB9-D0A0-4C4F-8A39-4351A7874767}" name="classification_netsales" dataDxfId="17">
      <calculatedColumnFormula>IF(Table14[[#This Row],[Net_Sales]]&gt;25000,"High",IF(Table14[[#This Row],[Net_Sales]]&gt;10000,"Medium","Low"))</calculatedColumnFormula>
    </tableColumn>
    <tableColumn id="20" xr3:uid="{50FB337D-81EC-469B-94C1-1620FCD42AE9}" name="AND" dataDxfId="16">
      <calculatedColumnFormula>AND(Table14[[#This Row],[Quantity]]&gt;=5,Table14[[#This Row],[Discount_Rate]]&gt;=10%)</calculatedColumnFormula>
    </tableColumn>
    <tableColumn id="21" xr3:uid="{CB3BE493-0FF0-40B8-9162-5B1D59E57E17}" name="OR" dataDxfId="15">
      <calculatedColumnFormula>OR(Table14[[#This Row],[Payment_Method]]="UPI",Table14[[#This Row],[Payment_Method]]="Cash")</calculatedColumnFormula>
    </tableColumn>
    <tableColumn id="22" xr3:uid="{12457010-E1FE-43E5-A1EF-1FE56BD31341}" name="iferror" dataDxfId="14">
      <calculatedColumnFormula>IFERROR(Table14[[#This Row],[Net_Sales]]/Table14[[#This Row],[Quantity]],"ERROR")</calculatedColumnFormula>
    </tableColumn>
    <tableColumn id="23" xr3:uid="{698F7DBA-7383-478C-954C-8EC8E249BF58}" name="T21" dataDxfId="13">
      <calculatedColumnFormula>PROPER(TRIM(Table14[[#This Row],[Customer_Name]]))</calculatedColumnFormula>
    </tableColumn>
    <tableColumn id="24" xr3:uid="{2972A423-B7DB-418F-A59D-1B893876EF31}" name="T212" dataDxfId="12">
      <calculatedColumnFormula>PROPER(TRIM(Table14[[#This Row],[Region]]))</calculatedColumnFormula>
    </tableColumn>
    <tableColumn id="25" xr3:uid="{CB868F92-4556-4F8F-B508-37AB07A35E17}" name="Year" dataDxfId="11">
      <calculatedColumnFormula>YEAR(Table14[[#This Row],[Date]])</calculatedColumnFormula>
    </tableColumn>
    <tableColumn id="26" xr3:uid="{685DF805-EFDF-4C09-A343-AB5DCDBC458D}" name="Month" dataDxfId="10">
      <calculatedColumnFormula>MONTH(Table14[[#This Row],[Date]])</calculatedColumnFormula>
    </tableColumn>
    <tableColumn id="27" xr3:uid="{0FFC2E9D-17AC-4572-BD4B-9DA90D4F06BA}" name="Column1" dataDxfId="9">
      <calculatedColumnFormula>MID(Table14[[#This Row],[Transaction_ID]],4,7)</calculatedColumnFormula>
    </tableColumn>
    <tableColumn id="28" xr3:uid="{96B75039-21E3-428F-A95C-F61DCF3F00F6}" name="Region_category" dataDxfId="8">
      <calculatedColumnFormula>_xlfn.CONCAT(Table14[[#This Row],[Region]],"-",Table14[[#This Row],[Category]])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BC80FE-C485-477E-999D-B0CADB051A2D}" name="Table2" displayName="Table2" ref="A1:B6" totalsRowShown="0">
  <autoFilter ref="A1:B6" xr:uid="{83BC80FE-C485-477E-999D-B0CADB051A2D}"/>
  <tableColumns count="2">
    <tableColumn id="1" xr3:uid="{0D8DA0DA-4B87-4B84-9C18-742A47CAF05E}" name="Sales_id"/>
    <tableColumn id="2" xr3:uid="{17072CD0-3129-4ED8-A91D-ADA52E250F6A}" name="Representative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5B29-771B-4AA4-9880-61EDDE72E84E}">
  <dimension ref="A3:F48"/>
  <sheetViews>
    <sheetView workbookViewId="0">
      <selection activeCell="T25" sqref="T25"/>
    </sheetView>
  </sheetViews>
  <sheetFormatPr defaultRowHeight="15"/>
  <cols>
    <col min="1" max="1" width="16.5703125" bestFit="1" customWidth="1"/>
    <col min="2" max="2" width="16.28515625" bestFit="1" customWidth="1"/>
    <col min="3" max="3" width="10.85546875" bestFit="1" customWidth="1"/>
    <col min="4" max="4" width="8.28515625" bestFit="1" customWidth="1"/>
    <col min="5" max="5" width="9.7109375" bestFit="1" customWidth="1"/>
    <col min="6" max="6" width="11.28515625" bestFit="1" customWidth="1"/>
  </cols>
  <sheetData>
    <row r="3" spans="1:2">
      <c r="A3" s="17" t="s">
        <v>310</v>
      </c>
      <c r="B3" t="s">
        <v>312</v>
      </c>
    </row>
    <row r="4" spans="1:2">
      <c r="A4" s="18" t="s">
        <v>172</v>
      </c>
      <c r="B4" s="20">
        <v>78120</v>
      </c>
    </row>
    <row r="5" spans="1:2">
      <c r="A5" s="18" t="s">
        <v>18</v>
      </c>
      <c r="B5" s="20">
        <v>95680</v>
      </c>
    </row>
    <row r="6" spans="1:2">
      <c r="A6" s="18" t="s">
        <v>69</v>
      </c>
      <c r="B6" s="20">
        <v>41216</v>
      </c>
    </row>
    <row r="7" spans="1:2">
      <c r="A7" s="18" t="s">
        <v>42</v>
      </c>
      <c r="B7" s="20">
        <v>66600</v>
      </c>
    </row>
    <row r="8" spans="1:2">
      <c r="A8" s="18" t="s">
        <v>145</v>
      </c>
      <c r="B8" s="20">
        <v>85560</v>
      </c>
    </row>
    <row r="9" spans="1:2">
      <c r="A9" s="18" t="s">
        <v>136</v>
      </c>
      <c r="B9" s="20">
        <v>72380</v>
      </c>
    </row>
    <row r="10" spans="1:2">
      <c r="A10" s="18" t="s">
        <v>81</v>
      </c>
      <c r="B10" s="20">
        <v>133950</v>
      </c>
    </row>
    <row r="11" spans="1:2">
      <c r="A11" s="18" t="s">
        <v>130</v>
      </c>
      <c r="B11" s="20">
        <v>40320</v>
      </c>
    </row>
    <row r="12" spans="1:2">
      <c r="A12" s="18" t="s">
        <v>93</v>
      </c>
      <c r="B12" s="20">
        <v>77440</v>
      </c>
    </row>
    <row r="13" spans="1:2">
      <c r="A13" s="18" t="s">
        <v>181</v>
      </c>
      <c r="B13" s="20">
        <v>57960</v>
      </c>
    </row>
    <row r="14" spans="1:2">
      <c r="A14" s="18" t="s">
        <v>311</v>
      </c>
      <c r="B14" s="20">
        <v>749226</v>
      </c>
    </row>
    <row r="25" spans="1:6">
      <c r="A25" s="17" t="s">
        <v>312</v>
      </c>
      <c r="B25" s="17" t="s">
        <v>313</v>
      </c>
    </row>
    <row r="26" spans="1:6">
      <c r="A26" s="17" t="s">
        <v>310</v>
      </c>
      <c r="B26" t="s">
        <v>118</v>
      </c>
      <c r="C26" t="s">
        <v>20</v>
      </c>
      <c r="D26" t="s">
        <v>56</v>
      </c>
      <c r="E26" t="s">
        <v>66</v>
      </c>
      <c r="F26" t="s">
        <v>311</v>
      </c>
    </row>
    <row r="27" spans="1:6">
      <c r="A27" s="18" t="s">
        <v>38</v>
      </c>
      <c r="B27" s="20">
        <v>0</v>
      </c>
      <c r="C27" s="20">
        <v>363756</v>
      </c>
      <c r="D27" s="20"/>
      <c r="E27" s="20">
        <v>28560</v>
      </c>
      <c r="F27" s="20">
        <v>392316</v>
      </c>
    </row>
    <row r="28" spans="1:6">
      <c r="A28" s="18" t="s">
        <v>14</v>
      </c>
      <c r="B28" s="20"/>
      <c r="C28" s="20">
        <v>504715.9</v>
      </c>
      <c r="D28" s="20"/>
      <c r="E28" s="20"/>
      <c r="F28" s="20">
        <v>504715.9</v>
      </c>
    </row>
    <row r="29" spans="1:6">
      <c r="A29" s="18" t="s">
        <v>23</v>
      </c>
      <c r="B29" s="20"/>
      <c r="C29" s="20">
        <v>128509.4</v>
      </c>
      <c r="D29" s="20">
        <v>45560</v>
      </c>
      <c r="E29" s="20">
        <v>15360</v>
      </c>
      <c r="F29" s="20">
        <v>189429.4</v>
      </c>
    </row>
    <row r="30" spans="1:6">
      <c r="A30" s="18" t="s">
        <v>31</v>
      </c>
      <c r="B30" s="20">
        <v>12960</v>
      </c>
      <c r="C30" s="20">
        <v>458650.5</v>
      </c>
      <c r="D30" s="20">
        <v>44592</v>
      </c>
      <c r="E30" s="20"/>
      <c r="F30" s="20">
        <v>516202.5</v>
      </c>
    </row>
    <row r="31" spans="1:6">
      <c r="A31" s="18" t="s">
        <v>311</v>
      </c>
      <c r="B31" s="20">
        <v>12960</v>
      </c>
      <c r="C31" s="20">
        <v>1455631.8</v>
      </c>
      <c r="D31" s="20">
        <v>90152</v>
      </c>
      <c r="E31" s="20">
        <v>43920</v>
      </c>
      <c r="F31" s="20">
        <v>1602663.8</v>
      </c>
    </row>
    <row r="34" spans="1:1">
      <c r="A34" s="18" t="s">
        <v>318</v>
      </c>
    </row>
    <row r="35" spans="1:1">
      <c r="A35">
        <f>COUNTIF(Transactions!L:L,"Completed")</f>
        <v>67</v>
      </c>
    </row>
    <row r="48" spans="1:1">
      <c r="A48">
        <f>SUM(Transactions!P2:P77)/COUNTA(Transactions!A2:A77)</f>
        <v>20977.155263157896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968E-17A3-4F28-B12A-30FA3B1A0D55}">
  <dimension ref="A3:B9"/>
  <sheetViews>
    <sheetView workbookViewId="0"/>
  </sheetViews>
  <sheetFormatPr defaultRowHeight="15"/>
  <cols>
    <col min="1" max="1" width="13.140625" bestFit="1" customWidth="1"/>
    <col min="2" max="2" width="16.5703125" bestFit="1" customWidth="1"/>
    <col min="3" max="4" width="5" bestFit="1" customWidth="1"/>
    <col min="5" max="5" width="7" bestFit="1" customWidth="1"/>
    <col min="6" max="6" width="5" bestFit="1" customWidth="1"/>
    <col min="7" max="7" width="7" bestFit="1" customWidth="1"/>
    <col min="8" max="13" width="5" bestFit="1" customWidth="1"/>
    <col min="14" max="14" width="7" bestFit="1" customWidth="1"/>
    <col min="15" max="16" width="5" bestFit="1" customWidth="1"/>
    <col min="17" max="17" width="7" bestFit="1" customWidth="1"/>
    <col min="18" max="22" width="5" bestFit="1" customWidth="1"/>
    <col min="23" max="23" width="7" bestFit="1" customWidth="1"/>
    <col min="24" max="27" width="5" bestFit="1" customWidth="1"/>
    <col min="28" max="32" width="6" bestFit="1" customWidth="1"/>
    <col min="33" max="33" width="8" bestFit="1" customWidth="1"/>
    <col min="34" max="39" width="6" bestFit="1" customWidth="1"/>
    <col min="40" max="40" width="8" bestFit="1" customWidth="1"/>
    <col min="41" max="42" width="6" bestFit="1" customWidth="1"/>
    <col min="43" max="43" width="8" bestFit="1" customWidth="1"/>
    <col min="44" max="73" width="6" bestFit="1" customWidth="1"/>
    <col min="74" max="74" width="7" bestFit="1" customWidth="1"/>
    <col min="75" max="75" width="11.28515625" bestFit="1" customWidth="1"/>
    <col min="76" max="76" width="16.28515625" bestFit="1" customWidth="1"/>
    <col min="77" max="78" width="11.28515625" bestFit="1" customWidth="1"/>
  </cols>
  <sheetData>
    <row r="3" spans="1:2">
      <c r="A3" s="17" t="s">
        <v>310</v>
      </c>
      <c r="B3" t="s">
        <v>312</v>
      </c>
    </row>
    <row r="4" spans="1:2">
      <c r="A4" s="18" t="s">
        <v>315</v>
      </c>
      <c r="B4" s="20">
        <v>248214.9</v>
      </c>
    </row>
    <row r="5" spans="1:2">
      <c r="A5" s="18" t="s">
        <v>307</v>
      </c>
      <c r="B5" s="20">
        <v>243171.5</v>
      </c>
    </row>
    <row r="6" spans="1:2">
      <c r="A6" s="18" t="s">
        <v>316</v>
      </c>
      <c r="B6" s="20">
        <v>529893.4</v>
      </c>
    </row>
    <row r="7" spans="1:2">
      <c r="A7" s="18" t="s">
        <v>308</v>
      </c>
      <c r="B7" s="20">
        <v>463243.2</v>
      </c>
    </row>
    <row r="8" spans="1:2">
      <c r="A8" s="18" t="s">
        <v>317</v>
      </c>
      <c r="B8" s="20">
        <v>118140.8</v>
      </c>
    </row>
    <row r="9" spans="1:2">
      <c r="A9" s="18" t="s">
        <v>311</v>
      </c>
      <c r="B9" s="20">
        <v>1602663.8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
  <sheetViews>
    <sheetView topLeftCell="M1" workbookViewId="0">
      <pane ySplit="1" topLeftCell="A32" activePane="bottomLeft" state="frozen"/>
      <selection pane="bottomLeft" activeCell="P79" sqref="P79"/>
    </sheetView>
  </sheetViews>
  <sheetFormatPr defaultColWidth="12.5703125" defaultRowHeight="15" customHeight="1"/>
  <cols>
    <col min="1" max="1" width="16.42578125" bestFit="1" customWidth="1"/>
    <col min="2" max="2" width="12.140625" bestFit="1" customWidth="1"/>
    <col min="3" max="3" width="12.28515625" customWidth="1"/>
    <col min="4" max="4" width="16" customWidth="1"/>
    <col min="5" max="5" width="19.28515625" customWidth="1"/>
    <col min="6" max="6" width="14" customWidth="1"/>
    <col min="7" max="7" width="19.28515625" customWidth="1"/>
    <col min="8" max="8" width="10.85546875" customWidth="1"/>
    <col min="9" max="9" width="16.5703125" customWidth="1"/>
    <col min="10" max="10" width="15.85546875" customWidth="1"/>
    <col min="11" max="11" width="19.140625" customWidth="1"/>
    <col min="12" max="12" width="12.28515625" customWidth="1"/>
    <col min="13" max="13" width="15" customWidth="1"/>
    <col min="17" max="17" width="21.42578125" customWidth="1"/>
    <col min="18" max="18" width="19.42578125" customWidth="1"/>
    <col min="19" max="19" width="28.28515625" customWidth="1"/>
    <col min="21" max="21" width="11" customWidth="1"/>
    <col min="23" max="24" width="24" customWidth="1"/>
    <col min="28" max="28" width="19.140625" customWidth="1"/>
  </cols>
  <sheetData>
    <row r="1" spans="1:28" ht="30" customHeight="1">
      <c r="A1" s="1" t="s">
        <v>0</v>
      </c>
      <c r="B1" s="2" t="s">
        <v>1</v>
      </c>
      <c r="C1" s="2" t="s">
        <v>2</v>
      </c>
      <c r="D1" s="2" t="s">
        <v>3</v>
      </c>
      <c r="E1" s="2" t="s">
        <v>4</v>
      </c>
      <c r="F1" s="2" t="s">
        <v>5</v>
      </c>
      <c r="G1" s="2" t="s">
        <v>6</v>
      </c>
      <c r="H1" s="2" t="s">
        <v>7</v>
      </c>
      <c r="I1" s="2" t="s">
        <v>8</v>
      </c>
      <c r="J1" s="2" t="s">
        <v>9</v>
      </c>
      <c r="K1" s="2" t="s">
        <v>10</v>
      </c>
      <c r="L1" s="2" t="s">
        <v>11</v>
      </c>
      <c r="M1" s="2" t="s">
        <v>12</v>
      </c>
      <c r="N1" s="2" t="s">
        <v>278</v>
      </c>
      <c r="O1" s="2" t="s">
        <v>279</v>
      </c>
      <c r="P1" s="2" t="s">
        <v>280</v>
      </c>
      <c r="Q1" s="19" t="s">
        <v>281</v>
      </c>
      <c r="R1" s="3" t="s">
        <v>286</v>
      </c>
      <c r="S1" s="2" t="s">
        <v>287</v>
      </c>
      <c r="T1" s="2" t="s">
        <v>288</v>
      </c>
      <c r="U1" s="2" t="s">
        <v>289</v>
      </c>
      <c r="V1" s="2" t="s">
        <v>290</v>
      </c>
      <c r="W1" s="2" t="s">
        <v>276</v>
      </c>
      <c r="X1" s="2" t="s">
        <v>277</v>
      </c>
      <c r="Y1" s="2" t="s">
        <v>303</v>
      </c>
      <c r="Z1" s="2" t="s">
        <v>304</v>
      </c>
      <c r="AA1" s="19" t="s">
        <v>314</v>
      </c>
      <c r="AB1" s="2" t="s">
        <v>305</v>
      </c>
    </row>
    <row r="2" spans="1:28">
      <c r="A2" s="4" t="s">
        <v>13</v>
      </c>
      <c r="B2" s="5">
        <v>46025</v>
      </c>
      <c r="C2" s="6" t="s">
        <v>14</v>
      </c>
      <c r="D2" s="6" t="s">
        <v>15</v>
      </c>
      <c r="E2" s="6" t="s">
        <v>16</v>
      </c>
      <c r="F2" s="6" t="s">
        <v>17</v>
      </c>
      <c r="G2" s="6" t="s">
        <v>18</v>
      </c>
      <c r="H2" s="6">
        <v>2</v>
      </c>
      <c r="I2" s="7">
        <v>52000</v>
      </c>
      <c r="J2" s="8">
        <v>0.08</v>
      </c>
      <c r="K2" s="6" t="s">
        <v>19</v>
      </c>
      <c r="L2" s="6" t="s">
        <v>20</v>
      </c>
      <c r="M2" s="6" t="s">
        <v>21</v>
      </c>
      <c r="N2" s="6">
        <f>Table1[[#This Row],[Quantity]]*Table1[[#This Row],[Unit_Price_INR]]</f>
        <v>104000</v>
      </c>
      <c r="O2" s="6">
        <f>Table1[[#This Row],[Gross sales]]*Table1[[#This Row],[Discount_Rate]]</f>
        <v>8320</v>
      </c>
      <c r="P2" s="6">
        <f>Table1[[#This Row],[Gross sales]]-Table1[[#This Row],[Discount_Amount]]</f>
        <v>95680</v>
      </c>
      <c r="Q2" s="6" t="str">
        <f>TEXT(Table1[[#This Row],[Date]],"mmmm")</f>
        <v>January</v>
      </c>
      <c r="R2" s="9" t="str">
        <f>IF(OR(Table1[[#This Row],[Status]]="Pending",Table1[[#This Row],[Status]]="Refunded"),"Review","OK")</f>
        <v>OK</v>
      </c>
      <c r="S2" s="16" t="str">
        <f>IF(Table1[[#This Row],[Net_Sales]]&gt;25000,"Hgh",IF(Table1[[#This Row],[Net_Sales]]&gt;10000,"Medium","Low"))</f>
        <v>Hgh</v>
      </c>
      <c r="T2" s="16" t="b">
        <f>AND(Table1[[#This Row],[Quantity]]&gt;=5,Table1[[#This Row],[Discount_Rate]]&gt;=10%)</f>
        <v>0</v>
      </c>
      <c r="U2" s="16" t="b">
        <f>OR(Table1[[#This Row],[Payment_Method]]="UPI",Table1[[#This Row],[Payment_Method]]="Cash")</f>
        <v>1</v>
      </c>
      <c r="V2" s="16">
        <f>IFERROR(Table1[[#This Row],[Net_Sales]]/Table1[[#This Row],[Quantity]],"ERROR")</f>
        <v>47840</v>
      </c>
      <c r="W2" s="16" t="str">
        <f>PROPER(TRIM(Table1[[#This Row],[Customer_Name]]))</f>
        <v>Asha Stores</v>
      </c>
      <c r="X2" s="16" t="str">
        <f>PROPER(TRIM(Table1[[#This Row],[Region]]))</f>
        <v>North</v>
      </c>
      <c r="Y2" s="16">
        <f>YEAR(Table1[[#This Row],[Date]])</f>
        <v>2026</v>
      </c>
      <c r="Z2" s="16">
        <f>MONTH(Table1[[#This Row],[Date]])</f>
        <v>1</v>
      </c>
      <c r="AA2" s="16" t="str">
        <f>MID(Table1[[#This Row],[Transaction_ID]],4,7)</f>
        <v>1001</v>
      </c>
      <c r="AB2" s="16" t="str">
        <f>_xlfn.CONCAT(Table1[[#This Row],[Region]],"-",Table1[[#This Row],[Category]])</f>
        <v>North-Electronics</v>
      </c>
    </row>
    <row r="3" spans="1:28">
      <c r="A3" s="10" t="s">
        <v>22</v>
      </c>
      <c r="B3" s="11">
        <v>46026</v>
      </c>
      <c r="C3" s="12" t="s">
        <v>23</v>
      </c>
      <c r="D3" s="12" t="s">
        <v>24</v>
      </c>
      <c r="E3" s="12" t="s">
        <v>25</v>
      </c>
      <c r="F3" s="12" t="s">
        <v>26</v>
      </c>
      <c r="G3" s="12" t="s">
        <v>27</v>
      </c>
      <c r="H3" s="12">
        <v>3</v>
      </c>
      <c r="I3" s="13">
        <v>4200</v>
      </c>
      <c r="J3" s="14">
        <v>0.05</v>
      </c>
      <c r="K3" s="12" t="s">
        <v>28</v>
      </c>
      <c r="L3" s="12" t="s">
        <v>20</v>
      </c>
      <c r="M3" s="12" t="s">
        <v>29</v>
      </c>
      <c r="N3" s="6">
        <f>Table1[[#This Row],[Quantity]]*Table1[[#This Row],[Unit_Price_INR]]</f>
        <v>12600</v>
      </c>
      <c r="O3" s="6">
        <f>Table1[[#This Row],[Gross sales]]*Table1[[#This Row],[Discount_Rate]]</f>
        <v>630</v>
      </c>
      <c r="P3" s="6">
        <f>Table1[[#This Row],[Gross sales]]-Table1[[#This Row],[Discount_Amount]]</f>
        <v>11970</v>
      </c>
      <c r="Q3" s="6" t="str">
        <f>TEXT(Table1[[#This Row],[Date]],"mmmm")</f>
        <v>January</v>
      </c>
      <c r="R3" s="9" t="str">
        <f>IF(OR(Table1[[#This Row],[Status]]="Pending",Table1[[#This Row],[Status]]="Refunded"),"Review","OK")</f>
        <v>OK</v>
      </c>
      <c r="S3" s="6" t="str">
        <f>IF(Table1[[#This Row],[Net_Sales]]&gt;25000,"Hgh",IF(Table1[[#This Row],[Net_Sales]]&gt;10000,"Medium","Low"))</f>
        <v>Medium</v>
      </c>
      <c r="T3" s="6" t="b">
        <f>AND(Table1[[#This Row],[Quantity]]&gt;=5,Table1[[#This Row],[Discount_Rate]]&gt;=10%)</f>
        <v>0</v>
      </c>
      <c r="U3" s="6" t="b">
        <f>OR(Table1[[#This Row],[Payment_Method]]="UPI",Table1[[#This Row],[Payment_Method]]="Cash")</f>
        <v>0</v>
      </c>
      <c r="V3" s="6">
        <f>IFERROR(Table1[[#This Row],[Net_Sales]]/Table1[[#This Row],[Quantity]],"ERROR")</f>
        <v>3990</v>
      </c>
      <c r="W3" s="6" t="str">
        <f>PROPER(TRIM(Table1[[#This Row],[Customer_Name]]))</f>
        <v>Bright Mart</v>
      </c>
      <c r="X3" s="6" t="str">
        <f>PROPER(TRIM(Table1[[#This Row],[Region]]))</f>
        <v>South</v>
      </c>
      <c r="Y3" s="6">
        <f>YEAR(Table1[[#This Row],[Date]])</f>
        <v>2026</v>
      </c>
      <c r="Z3" s="6">
        <f>MONTH(Table1[[#This Row],[Date]])</f>
        <v>1</v>
      </c>
      <c r="AA3" s="6" t="str">
        <f>MID(Table1[[#This Row],[Transaction_ID]],4,7)</f>
        <v>1002</v>
      </c>
      <c r="AB3" s="6" t="str">
        <f>_xlfn.CONCAT(Table1[[#This Row],[Region]],"-",Table1[[#This Row],[Category]])</f>
        <v>South-Home</v>
      </c>
    </row>
    <row r="4" spans="1:28">
      <c r="A4" s="4" t="s">
        <v>30</v>
      </c>
      <c r="B4" s="5">
        <v>46027</v>
      </c>
      <c r="C4" s="6" t="s">
        <v>31</v>
      </c>
      <c r="D4" s="6" t="s">
        <v>15</v>
      </c>
      <c r="E4" s="6" t="s">
        <v>32</v>
      </c>
      <c r="F4" s="6" t="s">
        <v>33</v>
      </c>
      <c r="G4" s="6" t="s">
        <v>34</v>
      </c>
      <c r="H4" s="6">
        <v>10</v>
      </c>
      <c r="I4" s="7">
        <v>1250</v>
      </c>
      <c r="J4" s="8">
        <v>0</v>
      </c>
      <c r="K4" s="6" t="s">
        <v>35</v>
      </c>
      <c r="L4" s="6" t="s">
        <v>20</v>
      </c>
      <c r="M4" s="6" t="s">
        <v>36</v>
      </c>
      <c r="N4" s="6">
        <f>Table1[[#This Row],[Quantity]]*Table1[[#This Row],[Unit_Price_INR]]</f>
        <v>12500</v>
      </c>
      <c r="O4" s="6">
        <f>Table1[[#This Row],[Gross sales]]*Table1[[#This Row],[Discount_Rate]]</f>
        <v>0</v>
      </c>
      <c r="P4" s="6">
        <f>Table1[[#This Row],[Gross sales]]-Table1[[#This Row],[Discount_Amount]]</f>
        <v>12500</v>
      </c>
      <c r="Q4" s="6" t="str">
        <f>TEXT(Table1[[#This Row],[Date]],"mmmm")</f>
        <v>January</v>
      </c>
      <c r="R4" s="9" t="str">
        <f>IF(OR(Table1[[#This Row],[Status]]="Pending",Table1[[#This Row],[Status]]="Refunded"),"Review","OK")</f>
        <v>OK</v>
      </c>
      <c r="S4" s="6" t="str">
        <f>IF(Table1[[#This Row],[Net_Sales]]&gt;25000,"Hgh",IF(Table1[[#This Row],[Net_Sales]]&gt;10000,"Medium","Low"))</f>
        <v>Medium</v>
      </c>
      <c r="T4" s="6" t="b">
        <f>AND(Table1[[#This Row],[Quantity]]&gt;=5,Table1[[#This Row],[Discount_Rate]]&gt;=10%)</f>
        <v>0</v>
      </c>
      <c r="U4" s="6" t="b">
        <f>OR(Table1[[#This Row],[Payment_Method]]="UPI",Table1[[#This Row],[Payment_Method]]="Cash")</f>
        <v>1</v>
      </c>
      <c r="V4" s="6">
        <f>IFERROR(Table1[[#This Row],[Net_Sales]]/Table1[[#This Row],[Quantity]],"ERROR")</f>
        <v>1250</v>
      </c>
      <c r="W4" s="6" t="str">
        <f>PROPER(TRIM(Table1[[#This Row],[Customer_Name]]))</f>
        <v>City Bazaar</v>
      </c>
      <c r="X4" s="6" t="str">
        <f>PROPER(TRIM(Table1[[#This Row],[Region]]))</f>
        <v>West</v>
      </c>
      <c r="Y4" s="6">
        <f>YEAR(Table1[[#This Row],[Date]])</f>
        <v>2026</v>
      </c>
      <c r="Z4" s="6">
        <f>MONTH(Table1[[#This Row],[Date]])</f>
        <v>1</v>
      </c>
      <c r="AA4" s="6" t="str">
        <f>MID(Table1[[#This Row],[Transaction_ID]],4,7)</f>
        <v>1003</v>
      </c>
      <c r="AB4" s="6" t="str">
        <f>_xlfn.CONCAT(Table1[[#This Row],[Region]],"-",Table1[[#This Row],[Category]])</f>
        <v>West-Grocery</v>
      </c>
    </row>
    <row r="5" spans="1:28">
      <c r="A5" s="10" t="s">
        <v>37</v>
      </c>
      <c r="B5" s="11">
        <v>46028</v>
      </c>
      <c r="C5" s="12" t="s">
        <v>38</v>
      </c>
      <c r="D5" s="12" t="s">
        <v>39</v>
      </c>
      <c r="E5" s="12" t="s">
        <v>40</v>
      </c>
      <c r="F5" s="12" t="s">
        <v>41</v>
      </c>
      <c r="G5" s="12" t="s">
        <v>42</v>
      </c>
      <c r="H5" s="12">
        <v>4</v>
      </c>
      <c r="I5" s="13">
        <v>18500</v>
      </c>
      <c r="J5" s="14">
        <v>0.1</v>
      </c>
      <c r="K5" s="12" t="s">
        <v>43</v>
      </c>
      <c r="L5" s="12" t="s">
        <v>20</v>
      </c>
      <c r="M5" s="12" t="s">
        <v>44</v>
      </c>
      <c r="N5" s="6">
        <f>Table1[[#This Row],[Quantity]]*Table1[[#This Row],[Unit_Price_INR]]</f>
        <v>74000</v>
      </c>
      <c r="O5" s="6">
        <f>Table1[[#This Row],[Gross sales]]*Table1[[#This Row],[Discount_Rate]]</f>
        <v>7400</v>
      </c>
      <c r="P5" s="6">
        <f>Table1[[#This Row],[Gross sales]]-Table1[[#This Row],[Discount_Amount]]</f>
        <v>66600</v>
      </c>
      <c r="Q5" s="6" t="str">
        <f>TEXT(Table1[[#This Row],[Date]],"mmmm")</f>
        <v>January</v>
      </c>
      <c r="R5" s="9" t="str">
        <f>IF(OR(Table1[[#This Row],[Status]]="Pending",Table1[[#This Row],[Status]]="Refunded"),"Review","OK")</f>
        <v>OK</v>
      </c>
      <c r="S5" s="6" t="str">
        <f>IF(Table1[[#This Row],[Net_Sales]]&gt;25000,"Hgh",IF(Table1[[#This Row],[Net_Sales]]&gt;10000,"Medium","Low"))</f>
        <v>Hgh</v>
      </c>
      <c r="T5" s="6" t="b">
        <f>AND(Table1[[#This Row],[Quantity]]&gt;=5,Table1[[#This Row],[Discount_Rate]]&gt;=10%)</f>
        <v>0</v>
      </c>
      <c r="U5" s="6" t="b">
        <f>OR(Table1[[#This Row],[Payment_Method]]="UPI",Table1[[#This Row],[Payment_Method]]="Cash")</f>
        <v>0</v>
      </c>
      <c r="V5" s="6">
        <f>IFERROR(Table1[[#This Row],[Net_Sales]]/Table1[[#This Row],[Quantity]],"ERROR")</f>
        <v>16650</v>
      </c>
      <c r="W5" s="6" t="str">
        <f>PROPER(TRIM(Table1[[#This Row],[Customer_Name]]))</f>
        <v>Delta Traders</v>
      </c>
      <c r="X5" s="6" t="str">
        <f>PROPER(TRIM(Table1[[#This Row],[Region]]))</f>
        <v>East</v>
      </c>
      <c r="Y5" s="6">
        <f>YEAR(Table1[[#This Row],[Date]])</f>
        <v>2026</v>
      </c>
      <c r="Z5" s="6">
        <f>MONTH(Table1[[#This Row],[Date]])</f>
        <v>1</v>
      </c>
      <c r="AA5" s="6" t="str">
        <f>MID(Table1[[#This Row],[Transaction_ID]],4,7)</f>
        <v>1004</v>
      </c>
      <c r="AB5" s="6" t="str">
        <f>_xlfn.CONCAT(Table1[[#This Row],[Region]],"-",Table1[[#This Row],[Category]])</f>
        <v>East-Office</v>
      </c>
    </row>
    <row r="6" spans="1:28">
      <c r="A6" s="4" t="s">
        <v>45</v>
      </c>
      <c r="B6" s="5">
        <v>46029</v>
      </c>
      <c r="C6" s="6" t="s">
        <v>14</v>
      </c>
      <c r="D6" s="6" t="s">
        <v>24</v>
      </c>
      <c r="E6" s="6" t="s">
        <v>46</v>
      </c>
      <c r="F6" s="6" t="s">
        <v>47</v>
      </c>
      <c r="G6" s="6" t="s">
        <v>48</v>
      </c>
      <c r="H6" s="6">
        <v>5</v>
      </c>
      <c r="I6" s="7">
        <v>2400</v>
      </c>
      <c r="J6" s="8">
        <v>0.15</v>
      </c>
      <c r="K6" s="6" t="s">
        <v>28</v>
      </c>
      <c r="L6" s="6" t="s">
        <v>20</v>
      </c>
      <c r="M6" s="6" t="s">
        <v>21</v>
      </c>
      <c r="N6" s="6">
        <f>Table1[[#This Row],[Quantity]]*Table1[[#This Row],[Unit_Price_INR]]</f>
        <v>12000</v>
      </c>
      <c r="O6" s="6">
        <f>Table1[[#This Row],[Gross sales]]*Table1[[#This Row],[Discount_Rate]]</f>
        <v>1800</v>
      </c>
      <c r="P6" s="6">
        <f>Table1[[#This Row],[Gross sales]]-Table1[[#This Row],[Discount_Amount]]</f>
        <v>10200</v>
      </c>
      <c r="Q6" s="6" t="str">
        <f>TEXT(Table1[[#This Row],[Date]],"mmmm")</f>
        <v>January</v>
      </c>
      <c r="R6" s="9" t="str">
        <f>IF(OR(Table1[[#This Row],[Status]]="Pending",Table1[[#This Row],[Status]]="Refunded"),"Review","OK")</f>
        <v>OK</v>
      </c>
      <c r="S6" s="6" t="str">
        <f>IF(Table1[[#This Row],[Net_Sales]]&gt;25000,"Hgh",IF(Table1[[#This Row],[Net_Sales]]&gt;10000,"Medium","Low"))</f>
        <v>Medium</v>
      </c>
      <c r="T6" s="6" t="b">
        <f>AND(Table1[[#This Row],[Quantity]]&gt;=5,Table1[[#This Row],[Discount_Rate]]&gt;=10%)</f>
        <v>1</v>
      </c>
      <c r="U6" s="6" t="b">
        <f>OR(Table1[[#This Row],[Payment_Method]]="UPI",Table1[[#This Row],[Payment_Method]]="Cash")</f>
        <v>0</v>
      </c>
      <c r="V6" s="6">
        <f>IFERROR(Table1[[#This Row],[Net_Sales]]/Table1[[#This Row],[Quantity]],"ERROR")</f>
        <v>2040</v>
      </c>
      <c r="W6" s="6" t="str">
        <f>PROPER(TRIM(Table1[[#This Row],[Customer_Name]]))</f>
        <v>Evergreen Shop</v>
      </c>
      <c r="X6" s="6" t="str">
        <f>PROPER(TRIM(Table1[[#This Row],[Region]]))</f>
        <v>North</v>
      </c>
      <c r="Y6" s="6">
        <f>YEAR(Table1[[#This Row],[Date]])</f>
        <v>2026</v>
      </c>
      <c r="Z6" s="6">
        <f>MONTH(Table1[[#This Row],[Date]])</f>
        <v>1</v>
      </c>
      <c r="AA6" s="6" t="str">
        <f>MID(Table1[[#This Row],[Transaction_ID]],4,7)</f>
        <v>1005</v>
      </c>
      <c r="AB6" s="6" t="str">
        <f>_xlfn.CONCAT(Table1[[#This Row],[Region]],"-",Table1[[#This Row],[Category]])</f>
        <v>North-Fashion</v>
      </c>
    </row>
    <row r="7" spans="1:28">
      <c r="A7" s="10" t="s">
        <v>49</v>
      </c>
      <c r="B7" s="11">
        <v>46031</v>
      </c>
      <c r="C7" s="12" t="s">
        <v>23</v>
      </c>
      <c r="D7" s="12" t="s">
        <v>15</v>
      </c>
      <c r="E7" s="12" t="s">
        <v>50</v>
      </c>
      <c r="F7" s="12" t="s">
        <v>33</v>
      </c>
      <c r="G7" s="12" t="s">
        <v>51</v>
      </c>
      <c r="H7" s="12">
        <v>12</v>
      </c>
      <c r="I7" s="13">
        <v>185</v>
      </c>
      <c r="J7" s="14">
        <v>0.03</v>
      </c>
      <c r="K7" s="12" t="s">
        <v>19</v>
      </c>
      <c r="L7" s="12" t="s">
        <v>20</v>
      </c>
      <c r="M7" s="12" t="s">
        <v>52</v>
      </c>
      <c r="N7" s="6">
        <f>Table1[[#This Row],[Quantity]]*Table1[[#This Row],[Unit_Price_INR]]</f>
        <v>2220</v>
      </c>
      <c r="O7" s="6">
        <f>Table1[[#This Row],[Gross sales]]*Table1[[#This Row],[Discount_Rate]]</f>
        <v>66.599999999999994</v>
      </c>
      <c r="P7" s="6">
        <f>Table1[[#This Row],[Gross sales]]-Table1[[#This Row],[Discount_Amount]]</f>
        <v>2153.4</v>
      </c>
      <c r="Q7" s="6" t="str">
        <f>TEXT(Table1[[#This Row],[Date]],"mmmm")</f>
        <v>January</v>
      </c>
      <c r="R7" s="9" t="str">
        <f>IF(OR(Table1[[#This Row],[Status]]="Pending",Table1[[#This Row],[Status]]="Refunded"),"Review","OK")</f>
        <v>OK</v>
      </c>
      <c r="S7" s="6" t="str">
        <f>IF(Table1[[#This Row],[Net_Sales]]&gt;25000,"Hgh",IF(Table1[[#This Row],[Net_Sales]]&gt;10000,"Medium","Low"))</f>
        <v>Low</v>
      </c>
      <c r="T7" s="6" t="b">
        <f>AND(Table1[[#This Row],[Quantity]]&gt;=5,Table1[[#This Row],[Discount_Rate]]&gt;=10%)</f>
        <v>0</v>
      </c>
      <c r="U7" s="6" t="b">
        <f>OR(Table1[[#This Row],[Payment_Method]]="UPI",Table1[[#This Row],[Payment_Method]]="Cash")</f>
        <v>1</v>
      </c>
      <c r="V7" s="6">
        <f>IFERROR(Table1[[#This Row],[Net_Sales]]/Table1[[#This Row],[Quantity]],"ERROR")</f>
        <v>179.45000000000002</v>
      </c>
      <c r="W7" s="6" t="str">
        <f>PROPER(TRIM(Table1[[#This Row],[Customer_Name]]))</f>
        <v>Fresh Basket</v>
      </c>
      <c r="X7" s="6" t="str">
        <f>PROPER(TRIM(Table1[[#This Row],[Region]]))</f>
        <v>South</v>
      </c>
      <c r="Y7" s="6">
        <f>YEAR(Table1[[#This Row],[Date]])</f>
        <v>2026</v>
      </c>
      <c r="Z7" s="6">
        <f>MONTH(Table1[[#This Row],[Date]])</f>
        <v>1</v>
      </c>
      <c r="AA7" s="6" t="str">
        <f>MID(Table1[[#This Row],[Transaction_ID]],4,7)</f>
        <v>1006</v>
      </c>
      <c r="AB7" s="6" t="str">
        <f>_xlfn.CONCAT(Table1[[#This Row],[Region]],"-",Table1[[#This Row],[Category]])</f>
        <v>South-Grocery</v>
      </c>
    </row>
    <row r="8" spans="1:28">
      <c r="A8" s="4" t="s">
        <v>53</v>
      </c>
      <c r="B8" s="5">
        <v>46032</v>
      </c>
      <c r="C8" s="6" t="s">
        <v>31</v>
      </c>
      <c r="D8" s="6" t="s">
        <v>24</v>
      </c>
      <c r="E8" s="6" t="s">
        <v>54</v>
      </c>
      <c r="F8" s="6" t="s">
        <v>17</v>
      </c>
      <c r="G8" s="6" t="s">
        <v>55</v>
      </c>
      <c r="H8" s="6">
        <v>8</v>
      </c>
      <c r="I8" s="7">
        <v>1800</v>
      </c>
      <c r="J8" s="8">
        <v>0.12</v>
      </c>
      <c r="K8" s="6" t="s">
        <v>28</v>
      </c>
      <c r="L8" s="6" t="s">
        <v>56</v>
      </c>
      <c r="M8" s="6" t="s">
        <v>36</v>
      </c>
      <c r="N8" s="6">
        <f>Table1[[#This Row],[Quantity]]*Table1[[#This Row],[Unit_Price_INR]]</f>
        <v>14400</v>
      </c>
      <c r="O8" s="6">
        <f>Table1[[#This Row],[Gross sales]]*Table1[[#This Row],[Discount_Rate]]</f>
        <v>1728</v>
      </c>
      <c r="P8" s="6">
        <f>Table1[[#This Row],[Gross sales]]-Table1[[#This Row],[Discount_Amount]]</f>
        <v>12672</v>
      </c>
      <c r="Q8" s="6" t="str">
        <f>TEXT(Table1[[#This Row],[Date]],"mmmm")</f>
        <v>January</v>
      </c>
      <c r="R8" s="9" t="str">
        <f>IF(OR(Table1[[#This Row],[Status]]="Pending",Table1[[#This Row],[Status]]="Refunded"),"Review","OK")</f>
        <v>Review</v>
      </c>
      <c r="S8" s="6" t="str">
        <f>IF(Table1[[#This Row],[Net_Sales]]&gt;25000,"Hgh",IF(Table1[[#This Row],[Net_Sales]]&gt;10000,"Medium","Low"))</f>
        <v>Medium</v>
      </c>
      <c r="T8" s="6" t="b">
        <f>AND(Table1[[#This Row],[Quantity]]&gt;=5,Table1[[#This Row],[Discount_Rate]]&gt;=10%)</f>
        <v>1</v>
      </c>
      <c r="U8" s="6" t="b">
        <f>OR(Table1[[#This Row],[Payment_Method]]="UPI",Table1[[#This Row],[Payment_Method]]="Cash")</f>
        <v>0</v>
      </c>
      <c r="V8" s="6">
        <f>IFERROR(Table1[[#This Row],[Net_Sales]]/Table1[[#This Row],[Quantity]],"ERROR")</f>
        <v>1584</v>
      </c>
      <c r="W8" s="6" t="str">
        <f>PROPER(TRIM(Table1[[#This Row],[Customer_Name]]))</f>
        <v>Global Needs</v>
      </c>
      <c r="X8" s="6" t="str">
        <f>PROPER(TRIM(Table1[[#This Row],[Region]]))</f>
        <v>West</v>
      </c>
      <c r="Y8" s="6">
        <f>YEAR(Table1[[#This Row],[Date]])</f>
        <v>2026</v>
      </c>
      <c r="Z8" s="6">
        <f>MONTH(Table1[[#This Row],[Date]])</f>
        <v>1</v>
      </c>
      <c r="AA8" s="6" t="str">
        <f>MID(Table1[[#This Row],[Transaction_ID]],4,7)</f>
        <v>1007</v>
      </c>
      <c r="AB8" s="6" t="str">
        <f>_xlfn.CONCAT(Table1[[#This Row],[Region]],"-",Table1[[#This Row],[Category]])</f>
        <v>West-Electronics</v>
      </c>
    </row>
    <row r="9" spans="1:28">
      <c r="A9" s="10" t="s">
        <v>57</v>
      </c>
      <c r="B9" s="11">
        <v>46033</v>
      </c>
      <c r="C9" s="12" t="s">
        <v>38</v>
      </c>
      <c r="D9" s="12" t="s">
        <v>15</v>
      </c>
      <c r="E9" s="12" t="s">
        <v>58</v>
      </c>
      <c r="F9" s="12" t="s">
        <v>41</v>
      </c>
      <c r="G9" s="12" t="s">
        <v>59</v>
      </c>
      <c r="H9" s="12">
        <v>3</v>
      </c>
      <c r="I9" s="13">
        <v>7800</v>
      </c>
      <c r="J9" s="14">
        <v>7.0000000000000007E-2</v>
      </c>
      <c r="K9" s="12" t="s">
        <v>43</v>
      </c>
      <c r="L9" s="12" t="s">
        <v>20</v>
      </c>
      <c r="M9" s="12" t="s">
        <v>44</v>
      </c>
      <c r="N9" s="6">
        <f>Table1[[#This Row],[Quantity]]*Table1[[#This Row],[Unit_Price_INR]]</f>
        <v>23400</v>
      </c>
      <c r="O9" s="6">
        <f>Table1[[#This Row],[Gross sales]]*Table1[[#This Row],[Discount_Rate]]</f>
        <v>1638.0000000000002</v>
      </c>
      <c r="P9" s="6">
        <f>Table1[[#This Row],[Gross sales]]-Table1[[#This Row],[Discount_Amount]]</f>
        <v>21762</v>
      </c>
      <c r="Q9" s="6" t="str">
        <f>TEXT(Table1[[#This Row],[Date]],"mmmm")</f>
        <v>January</v>
      </c>
      <c r="R9" s="9" t="str">
        <f>IF(OR(Table1[[#This Row],[Status]]="Pending",Table1[[#This Row],[Status]]="Refunded"),"Review","OK")</f>
        <v>OK</v>
      </c>
      <c r="S9" s="6" t="str">
        <f>IF(Table1[[#This Row],[Net_Sales]]&gt;25000,"Hgh",IF(Table1[[#This Row],[Net_Sales]]&gt;10000,"Medium","Low"))</f>
        <v>Medium</v>
      </c>
      <c r="T9" s="6" t="b">
        <f>AND(Table1[[#This Row],[Quantity]]&gt;=5,Table1[[#This Row],[Discount_Rate]]&gt;=10%)</f>
        <v>0</v>
      </c>
      <c r="U9" s="6" t="b">
        <f>OR(Table1[[#This Row],[Payment_Method]]="UPI",Table1[[#This Row],[Payment_Method]]="Cash")</f>
        <v>0</v>
      </c>
      <c r="V9" s="6">
        <f>IFERROR(Table1[[#This Row],[Net_Sales]]/Table1[[#This Row],[Quantity]],"ERROR")</f>
        <v>7254</v>
      </c>
      <c r="W9" s="6" t="str">
        <f>PROPER(TRIM(Table1[[#This Row],[Customer_Name]]))</f>
        <v>Harbor Supplies</v>
      </c>
      <c r="X9" s="6" t="str">
        <f>PROPER(TRIM(Table1[[#This Row],[Region]]))</f>
        <v>East</v>
      </c>
      <c r="Y9" s="6">
        <f>YEAR(Table1[[#This Row],[Date]])</f>
        <v>2026</v>
      </c>
      <c r="Z9" s="6">
        <f>MONTH(Table1[[#This Row],[Date]])</f>
        <v>1</v>
      </c>
      <c r="AA9" s="6" t="str">
        <f>MID(Table1[[#This Row],[Transaction_ID]],4,7)</f>
        <v>1008</v>
      </c>
      <c r="AB9" s="6" t="str">
        <f>_xlfn.CONCAT(Table1[[#This Row],[Region]],"-",Table1[[#This Row],[Category]])</f>
        <v>East-Office</v>
      </c>
    </row>
    <row r="10" spans="1:28">
      <c r="A10" s="4" t="s">
        <v>60</v>
      </c>
      <c r="B10" s="5">
        <v>46034</v>
      </c>
      <c r="C10" s="6" t="s">
        <v>14</v>
      </c>
      <c r="D10" s="6" t="s">
        <v>39</v>
      </c>
      <c r="E10" s="6" t="s">
        <v>61</v>
      </c>
      <c r="F10" s="6" t="s">
        <v>26</v>
      </c>
      <c r="G10" s="6" t="s">
        <v>62</v>
      </c>
      <c r="H10" s="6">
        <v>2</v>
      </c>
      <c r="I10" s="7">
        <v>14500</v>
      </c>
      <c r="J10" s="8">
        <v>0.05</v>
      </c>
      <c r="K10" s="6" t="s">
        <v>43</v>
      </c>
      <c r="L10" s="6" t="s">
        <v>20</v>
      </c>
      <c r="M10" s="6" t="s">
        <v>29</v>
      </c>
      <c r="N10" s="6">
        <f>Table1[[#This Row],[Quantity]]*Table1[[#This Row],[Unit_Price_INR]]</f>
        <v>29000</v>
      </c>
      <c r="O10" s="6">
        <f>Table1[[#This Row],[Gross sales]]*Table1[[#This Row],[Discount_Rate]]</f>
        <v>1450</v>
      </c>
      <c r="P10" s="6">
        <f>Table1[[#This Row],[Gross sales]]-Table1[[#This Row],[Discount_Amount]]</f>
        <v>27550</v>
      </c>
      <c r="Q10" s="6" t="str">
        <f>TEXT(Table1[[#This Row],[Date]],"mmmm")</f>
        <v>January</v>
      </c>
      <c r="R10" s="9" t="str">
        <f>IF(OR(Table1[[#This Row],[Status]]="Pending",Table1[[#This Row],[Status]]="Refunded"),"Review","OK")</f>
        <v>OK</v>
      </c>
      <c r="S10" s="6" t="str">
        <f>IF(Table1[[#This Row],[Net_Sales]]&gt;25000,"Hgh",IF(Table1[[#This Row],[Net_Sales]]&gt;10000,"Medium","Low"))</f>
        <v>Hgh</v>
      </c>
      <c r="T10" s="6" t="b">
        <f>AND(Table1[[#This Row],[Quantity]]&gt;=5,Table1[[#This Row],[Discount_Rate]]&gt;=10%)</f>
        <v>0</v>
      </c>
      <c r="U10" s="6" t="b">
        <f>OR(Table1[[#This Row],[Payment_Method]]="UPI",Table1[[#This Row],[Payment_Method]]="Cash")</f>
        <v>0</v>
      </c>
      <c r="V10" s="6">
        <f>IFERROR(Table1[[#This Row],[Net_Sales]]/Table1[[#This Row],[Quantity]],"ERROR")</f>
        <v>13775</v>
      </c>
      <c r="W10" s="6" t="str">
        <f>PROPER(TRIM(Table1[[#This Row],[Customer_Name]]))</f>
        <v>Indigo Retailers</v>
      </c>
      <c r="X10" s="6" t="str">
        <f>PROPER(TRIM(Table1[[#This Row],[Region]]))</f>
        <v>North</v>
      </c>
      <c r="Y10" s="6">
        <f>YEAR(Table1[[#This Row],[Date]])</f>
        <v>2026</v>
      </c>
      <c r="Z10" s="6">
        <f>MONTH(Table1[[#This Row],[Date]])</f>
        <v>1</v>
      </c>
      <c r="AA10" s="6" t="str">
        <f>MID(Table1[[#This Row],[Transaction_ID]],4,7)</f>
        <v>1009</v>
      </c>
      <c r="AB10" s="6" t="str">
        <f>_xlfn.CONCAT(Table1[[#This Row],[Region]],"-",Table1[[#This Row],[Category]])</f>
        <v>North-Home</v>
      </c>
    </row>
    <row r="11" spans="1:28">
      <c r="A11" s="10" t="s">
        <v>63</v>
      </c>
      <c r="B11" s="11">
        <v>46036</v>
      </c>
      <c r="C11" s="12" t="s">
        <v>23</v>
      </c>
      <c r="D11" s="12" t="s">
        <v>24</v>
      </c>
      <c r="E11" s="12" t="s">
        <v>64</v>
      </c>
      <c r="F11" s="12" t="s">
        <v>47</v>
      </c>
      <c r="G11" s="12" t="s">
        <v>65</v>
      </c>
      <c r="H11" s="12">
        <v>6</v>
      </c>
      <c r="I11" s="13">
        <v>3200</v>
      </c>
      <c r="J11" s="14">
        <v>0.2</v>
      </c>
      <c r="K11" s="12" t="s">
        <v>19</v>
      </c>
      <c r="L11" s="12" t="s">
        <v>66</v>
      </c>
      <c r="M11" s="12" t="s">
        <v>52</v>
      </c>
      <c r="N11" s="6">
        <f>Table1[[#This Row],[Quantity]]*Table1[[#This Row],[Unit_Price_INR]]</f>
        <v>19200</v>
      </c>
      <c r="O11" s="6">
        <f>Table1[[#This Row],[Gross sales]]*Table1[[#This Row],[Discount_Rate]]</f>
        <v>3840</v>
      </c>
      <c r="P11" s="6">
        <f>Table1[[#This Row],[Gross sales]]-Table1[[#This Row],[Discount_Amount]]</f>
        <v>15360</v>
      </c>
      <c r="Q11" s="6" t="str">
        <f>TEXT(Table1[[#This Row],[Date]],"mmmm")</f>
        <v>January</v>
      </c>
      <c r="R11" s="9" t="str">
        <f>IF(OR(Table1[[#This Row],[Status]]="Pending",Table1[[#This Row],[Status]]="Refunded"),"Review","OK")</f>
        <v>Review</v>
      </c>
      <c r="S11" s="6" t="str">
        <f>IF(Table1[[#This Row],[Net_Sales]]&gt;25000,"Hgh",IF(Table1[[#This Row],[Net_Sales]]&gt;10000,"Medium","Low"))</f>
        <v>Medium</v>
      </c>
      <c r="T11" s="6" t="b">
        <f>AND(Table1[[#This Row],[Quantity]]&gt;=5,Table1[[#This Row],[Discount_Rate]]&gt;=10%)</f>
        <v>1</v>
      </c>
      <c r="U11" s="6" t="b">
        <f>OR(Table1[[#This Row],[Payment_Method]]="UPI",Table1[[#This Row],[Payment_Method]]="Cash")</f>
        <v>1</v>
      </c>
      <c r="V11" s="6">
        <f>IFERROR(Table1[[#This Row],[Net_Sales]]/Table1[[#This Row],[Quantity]],"ERROR")</f>
        <v>2560</v>
      </c>
      <c r="W11" s="6" t="str">
        <f>PROPER(TRIM(Table1[[#This Row],[Customer_Name]]))</f>
        <v>Jasmine Market</v>
      </c>
      <c r="X11" s="6" t="str">
        <f>PROPER(TRIM(Table1[[#This Row],[Region]]))</f>
        <v>South</v>
      </c>
      <c r="Y11" s="6">
        <f>YEAR(Table1[[#This Row],[Date]])</f>
        <v>2026</v>
      </c>
      <c r="Z11" s="6">
        <f>MONTH(Table1[[#This Row],[Date]])</f>
        <v>1</v>
      </c>
      <c r="AA11" s="6" t="str">
        <f>MID(Table1[[#This Row],[Transaction_ID]],4,7)</f>
        <v>1010</v>
      </c>
      <c r="AB11" s="6" t="str">
        <f>_xlfn.CONCAT(Table1[[#This Row],[Region]],"-",Table1[[#This Row],[Category]])</f>
        <v>South-Fashion</v>
      </c>
    </row>
    <row r="12" spans="1:28">
      <c r="A12" s="4" t="s">
        <v>67</v>
      </c>
      <c r="B12" s="5">
        <v>46037</v>
      </c>
      <c r="C12" s="6" t="s">
        <v>31</v>
      </c>
      <c r="D12" s="6" t="s">
        <v>15</v>
      </c>
      <c r="E12" s="6" t="s">
        <v>68</v>
      </c>
      <c r="F12" s="6" t="s">
        <v>17</v>
      </c>
      <c r="G12" s="6" t="s">
        <v>69</v>
      </c>
      <c r="H12" s="6">
        <v>4</v>
      </c>
      <c r="I12" s="7">
        <v>11200</v>
      </c>
      <c r="J12" s="8">
        <v>0.08</v>
      </c>
      <c r="K12" s="6" t="s">
        <v>28</v>
      </c>
      <c r="L12" s="6" t="s">
        <v>20</v>
      </c>
      <c r="M12" s="6" t="s">
        <v>36</v>
      </c>
      <c r="N12" s="6">
        <f>Table1[[#This Row],[Quantity]]*Table1[[#This Row],[Unit_Price_INR]]</f>
        <v>44800</v>
      </c>
      <c r="O12" s="6">
        <f>Table1[[#This Row],[Gross sales]]*Table1[[#This Row],[Discount_Rate]]</f>
        <v>3584</v>
      </c>
      <c r="P12" s="6">
        <f>Table1[[#This Row],[Gross sales]]-Table1[[#This Row],[Discount_Amount]]</f>
        <v>41216</v>
      </c>
      <c r="Q12" s="6" t="str">
        <f>TEXT(Table1[[#This Row],[Date]],"mmmm")</f>
        <v>January</v>
      </c>
      <c r="R12" s="15" t="str">
        <f>IF(OR(Table1[[#This Row],[Status]]="Pending",Table1[[#This Row],[Status]]="Refunded"),"Review","OK")</f>
        <v>OK</v>
      </c>
      <c r="S12" s="6" t="str">
        <f>IF(Table1[[#This Row],[Net_Sales]]&gt;25000,"Hgh",IF(Table1[[#This Row],[Net_Sales]]&gt;10000,"Medium","Low"))</f>
        <v>Hgh</v>
      </c>
      <c r="T12" s="6" t="b">
        <f>AND(Table1[[#This Row],[Quantity]]&gt;=5,Table1[[#This Row],[Discount_Rate]]&gt;=10%)</f>
        <v>0</v>
      </c>
      <c r="U12" s="6" t="b">
        <f>OR(Table1[[#This Row],[Payment_Method]]="UPI",Table1[[#This Row],[Payment_Method]]="Cash")</f>
        <v>0</v>
      </c>
      <c r="V12" s="6">
        <f>IFERROR(Table1[[#This Row],[Net_Sales]]/Table1[[#This Row],[Quantity]],"ERROR")</f>
        <v>10304</v>
      </c>
      <c r="W12" s="6" t="str">
        <f>PROPER(TRIM(Table1[[#This Row],[Customer_Name]]))</f>
        <v>Kingfisher Store</v>
      </c>
      <c r="X12" s="6" t="str">
        <f>PROPER(TRIM(Table1[[#This Row],[Region]]))</f>
        <v>West</v>
      </c>
      <c r="Y12" s="6">
        <f>YEAR(Table1[[#This Row],[Date]])</f>
        <v>2026</v>
      </c>
      <c r="Z12" s="6">
        <f>MONTH(Table1[[#This Row],[Date]])</f>
        <v>1</v>
      </c>
      <c r="AA12" s="6" t="str">
        <f>MID(Table1[[#This Row],[Transaction_ID]],4,7)</f>
        <v>1011</v>
      </c>
      <c r="AB12" s="6" t="str">
        <f>_xlfn.CONCAT(Table1[[#This Row],[Region]],"-",Table1[[#This Row],[Category]])</f>
        <v>West-Electronics</v>
      </c>
    </row>
    <row r="13" spans="1:28">
      <c r="A13" s="10" t="s">
        <v>70</v>
      </c>
      <c r="B13" s="11">
        <v>46039</v>
      </c>
      <c r="C13" s="12" t="s">
        <v>38</v>
      </c>
      <c r="D13" s="12" t="s">
        <v>39</v>
      </c>
      <c r="E13" s="12" t="s">
        <v>71</v>
      </c>
      <c r="F13" s="12" t="s">
        <v>33</v>
      </c>
      <c r="G13" s="12" t="s">
        <v>72</v>
      </c>
      <c r="H13" s="12">
        <v>20</v>
      </c>
      <c r="I13" s="13">
        <v>650</v>
      </c>
      <c r="J13" s="14">
        <v>0.02</v>
      </c>
      <c r="K13" s="12" t="s">
        <v>43</v>
      </c>
      <c r="L13" s="12" t="s">
        <v>20</v>
      </c>
      <c r="M13" s="12" t="s">
        <v>44</v>
      </c>
      <c r="N13" s="6">
        <f>Table1[[#This Row],[Quantity]]*Table1[[#This Row],[Unit_Price_INR]]</f>
        <v>13000</v>
      </c>
      <c r="O13" s="6">
        <f>Table1[[#This Row],[Gross sales]]*Table1[[#This Row],[Discount_Rate]]</f>
        <v>260</v>
      </c>
      <c r="P13" s="6">
        <f>Table1[[#This Row],[Gross sales]]-Table1[[#This Row],[Discount_Amount]]</f>
        <v>12740</v>
      </c>
      <c r="Q13" s="6" t="str">
        <f>TEXT(Table1[[#This Row],[Date]],"mmmm")</f>
        <v>January</v>
      </c>
      <c r="R13" s="9" t="str">
        <f>IF(OR(Table1[[#This Row],[Status]]="Pending",Table1[[#This Row],[Status]]="Refunded"),"Review","OK")</f>
        <v>OK</v>
      </c>
      <c r="S13" s="6" t="str">
        <f>IF(Table1[[#This Row],[Net_Sales]]&gt;25000,"Hgh",IF(Table1[[#This Row],[Net_Sales]]&gt;10000,"Medium","Low"))</f>
        <v>Medium</v>
      </c>
      <c r="T13" s="6" t="b">
        <f>AND(Table1[[#This Row],[Quantity]]&gt;=5,Table1[[#This Row],[Discount_Rate]]&gt;=10%)</f>
        <v>0</v>
      </c>
      <c r="U13" s="6" t="b">
        <f>OR(Table1[[#This Row],[Payment_Method]]="UPI",Table1[[#This Row],[Payment_Method]]="Cash")</f>
        <v>0</v>
      </c>
      <c r="V13" s="6">
        <f>IFERROR(Table1[[#This Row],[Net_Sales]]/Table1[[#This Row],[Quantity]],"ERROR")</f>
        <v>637</v>
      </c>
      <c r="W13" s="6" t="str">
        <f>PROPER(TRIM(Table1[[#This Row],[Customer_Name]]))</f>
        <v>Lotus Distributors</v>
      </c>
      <c r="X13" s="6" t="str">
        <f>PROPER(TRIM(Table1[[#This Row],[Region]]))</f>
        <v>East</v>
      </c>
      <c r="Y13" s="6">
        <f>YEAR(Table1[[#This Row],[Date]])</f>
        <v>2026</v>
      </c>
      <c r="Z13" s="6">
        <f>MONTH(Table1[[#This Row],[Date]])</f>
        <v>1</v>
      </c>
      <c r="AA13" s="6" t="str">
        <f>MID(Table1[[#This Row],[Transaction_ID]],4,7)</f>
        <v>1012</v>
      </c>
      <c r="AB13" s="6" t="str">
        <f>_xlfn.CONCAT(Table1[[#This Row],[Region]],"-",Table1[[#This Row],[Category]])</f>
        <v>East-Grocery</v>
      </c>
    </row>
    <row r="14" spans="1:28">
      <c r="A14" s="4" t="s">
        <v>73</v>
      </c>
      <c r="B14" s="5">
        <v>46041</v>
      </c>
      <c r="C14" s="6" t="s">
        <v>14</v>
      </c>
      <c r="D14" s="6" t="s">
        <v>24</v>
      </c>
      <c r="E14" s="6" t="s">
        <v>74</v>
      </c>
      <c r="F14" s="6" t="s">
        <v>26</v>
      </c>
      <c r="G14" s="6" t="s">
        <v>75</v>
      </c>
      <c r="H14" s="6">
        <v>3</v>
      </c>
      <c r="I14" s="7">
        <v>8900</v>
      </c>
      <c r="J14" s="8">
        <v>0.1</v>
      </c>
      <c r="K14" s="6" t="s">
        <v>28</v>
      </c>
      <c r="L14" s="6" t="s">
        <v>20</v>
      </c>
      <c r="M14" s="6" t="s">
        <v>21</v>
      </c>
      <c r="N14" s="6">
        <f>Table1[[#This Row],[Quantity]]*Table1[[#This Row],[Unit_Price_INR]]</f>
        <v>26700</v>
      </c>
      <c r="O14" s="6">
        <f>Table1[[#This Row],[Gross sales]]*Table1[[#This Row],[Discount_Rate]]</f>
        <v>2670</v>
      </c>
      <c r="P14" s="6">
        <f>Table1[[#This Row],[Gross sales]]-Table1[[#This Row],[Discount_Amount]]</f>
        <v>24030</v>
      </c>
      <c r="Q14" s="6" t="str">
        <f>TEXT(Table1[[#This Row],[Date]],"mmmm")</f>
        <v>January</v>
      </c>
      <c r="R14" s="9" t="str">
        <f>IF(OR(Table1[[#This Row],[Status]]="Pending",Table1[[#This Row],[Status]]="Refunded"),"Review","OK")</f>
        <v>OK</v>
      </c>
      <c r="S14" s="6" t="str">
        <f>IF(Table1[[#This Row],[Net_Sales]]&gt;25000,"Hgh",IF(Table1[[#This Row],[Net_Sales]]&gt;10000,"Medium","Low"))</f>
        <v>Medium</v>
      </c>
      <c r="T14" s="6" t="b">
        <f>AND(Table1[[#This Row],[Quantity]]&gt;=5,Table1[[#This Row],[Discount_Rate]]&gt;=10%)</f>
        <v>0</v>
      </c>
      <c r="U14" s="6" t="b">
        <f>OR(Table1[[#This Row],[Payment_Method]]="UPI",Table1[[#This Row],[Payment_Method]]="Cash")</f>
        <v>0</v>
      </c>
      <c r="V14" s="6">
        <f>IFERROR(Table1[[#This Row],[Net_Sales]]/Table1[[#This Row],[Quantity]],"ERROR")</f>
        <v>8010</v>
      </c>
      <c r="W14" s="6" t="str">
        <f>PROPER(TRIM(Table1[[#This Row],[Customer_Name]]))</f>
        <v>Metro Shop</v>
      </c>
      <c r="X14" s="6" t="str">
        <f>PROPER(TRIM(Table1[[#This Row],[Region]]))</f>
        <v>North</v>
      </c>
      <c r="Y14" s="6">
        <f>YEAR(Table1[[#This Row],[Date]])</f>
        <v>2026</v>
      </c>
      <c r="Z14" s="6">
        <f>MONTH(Table1[[#This Row],[Date]])</f>
        <v>1</v>
      </c>
      <c r="AA14" s="6" t="str">
        <f>MID(Table1[[#This Row],[Transaction_ID]],4,7)</f>
        <v>1013</v>
      </c>
      <c r="AB14" s="6" t="str">
        <f>_xlfn.CONCAT(Table1[[#This Row],[Region]],"-",Table1[[#This Row],[Category]])</f>
        <v>North-Home</v>
      </c>
    </row>
    <row r="15" spans="1:28">
      <c r="A15" s="10" t="s">
        <v>76</v>
      </c>
      <c r="B15" s="11">
        <v>46043</v>
      </c>
      <c r="C15" s="12" t="s">
        <v>23</v>
      </c>
      <c r="D15" s="12" t="s">
        <v>15</v>
      </c>
      <c r="E15" s="12" t="s">
        <v>77</v>
      </c>
      <c r="F15" s="12" t="s">
        <v>41</v>
      </c>
      <c r="G15" s="12" t="s">
        <v>78</v>
      </c>
      <c r="H15" s="12">
        <v>25</v>
      </c>
      <c r="I15" s="13">
        <v>180</v>
      </c>
      <c r="J15" s="14">
        <v>0</v>
      </c>
      <c r="K15" s="12" t="s">
        <v>35</v>
      </c>
      <c r="L15" s="12" t="s">
        <v>20</v>
      </c>
      <c r="M15" s="12" t="s">
        <v>52</v>
      </c>
      <c r="N15" s="6">
        <f>Table1[[#This Row],[Quantity]]*Table1[[#This Row],[Unit_Price_INR]]</f>
        <v>4500</v>
      </c>
      <c r="O15" s="6">
        <f>Table1[[#This Row],[Gross sales]]*Table1[[#This Row],[Discount_Rate]]</f>
        <v>0</v>
      </c>
      <c r="P15" s="6">
        <f>Table1[[#This Row],[Gross sales]]-Table1[[#This Row],[Discount_Amount]]</f>
        <v>4500</v>
      </c>
      <c r="Q15" s="6" t="str">
        <f>TEXT(Table1[[#This Row],[Date]],"mmmm")</f>
        <v>January</v>
      </c>
      <c r="R15" s="9" t="str">
        <f>IF(OR(Table1[[#This Row],[Status]]="Pending",Table1[[#This Row],[Status]]="Refunded"),"Review","OK")</f>
        <v>OK</v>
      </c>
      <c r="S15" s="6" t="str">
        <f>IF(Table1[[#This Row],[Net_Sales]]&gt;25000,"Hgh",IF(Table1[[#This Row],[Net_Sales]]&gt;10000,"Medium","Low"))</f>
        <v>Low</v>
      </c>
      <c r="T15" s="6" t="b">
        <f>AND(Table1[[#This Row],[Quantity]]&gt;=5,Table1[[#This Row],[Discount_Rate]]&gt;=10%)</f>
        <v>0</v>
      </c>
      <c r="U15" s="6" t="b">
        <f>OR(Table1[[#This Row],[Payment_Method]]="UPI",Table1[[#This Row],[Payment_Method]]="Cash")</f>
        <v>1</v>
      </c>
      <c r="V15" s="6">
        <f>IFERROR(Table1[[#This Row],[Net_Sales]]/Table1[[#This Row],[Quantity]],"ERROR")</f>
        <v>180</v>
      </c>
      <c r="W15" s="6" t="str">
        <f>PROPER(TRIM(Table1[[#This Row],[Customer_Name]]))</f>
        <v>Nova Stores</v>
      </c>
      <c r="X15" s="6" t="str">
        <f>PROPER(TRIM(Table1[[#This Row],[Region]]))</f>
        <v>South</v>
      </c>
      <c r="Y15" s="6">
        <f>YEAR(Table1[[#This Row],[Date]])</f>
        <v>2026</v>
      </c>
      <c r="Z15" s="6">
        <f>MONTH(Table1[[#This Row],[Date]])</f>
        <v>1</v>
      </c>
      <c r="AA15" s="6" t="str">
        <f>MID(Table1[[#This Row],[Transaction_ID]],4,7)</f>
        <v>1014</v>
      </c>
      <c r="AB15" s="6" t="str">
        <f>_xlfn.CONCAT(Table1[[#This Row],[Region]],"-",Table1[[#This Row],[Category]])</f>
        <v>South-Office</v>
      </c>
    </row>
    <row r="16" spans="1:28">
      <c r="A16" s="4" t="s">
        <v>79</v>
      </c>
      <c r="B16" s="5">
        <v>46045</v>
      </c>
      <c r="C16" s="6" t="s">
        <v>31</v>
      </c>
      <c r="D16" s="6" t="s">
        <v>39</v>
      </c>
      <c r="E16" s="6" t="s">
        <v>80</v>
      </c>
      <c r="F16" s="6" t="s">
        <v>17</v>
      </c>
      <c r="G16" s="6" t="s">
        <v>81</v>
      </c>
      <c r="H16" s="6">
        <v>5</v>
      </c>
      <c r="I16" s="7">
        <v>28500</v>
      </c>
      <c r="J16" s="8">
        <v>0.06</v>
      </c>
      <c r="K16" s="6" t="s">
        <v>43</v>
      </c>
      <c r="L16" s="6" t="s">
        <v>20</v>
      </c>
      <c r="M16" s="6" t="s">
        <v>36</v>
      </c>
      <c r="N16" s="6">
        <f>Table1[[#This Row],[Quantity]]*Table1[[#This Row],[Unit_Price_INR]]</f>
        <v>142500</v>
      </c>
      <c r="O16" s="6">
        <f>Table1[[#This Row],[Gross sales]]*Table1[[#This Row],[Discount_Rate]]</f>
        <v>8550</v>
      </c>
      <c r="P16" s="6">
        <f>Table1[[#This Row],[Gross sales]]-Table1[[#This Row],[Discount_Amount]]</f>
        <v>133950</v>
      </c>
      <c r="Q16" s="6" t="str">
        <f>TEXT(Table1[[#This Row],[Date]],"mmmm")</f>
        <v>January</v>
      </c>
      <c r="R16" s="9" t="str">
        <f>IF(OR(Table1[[#This Row],[Status]]="Pending",Table1[[#This Row],[Status]]="Refunded"),"Review","OK")</f>
        <v>OK</v>
      </c>
      <c r="S16" s="6" t="str">
        <f>IF(Table1[[#This Row],[Net_Sales]]&gt;25000,"Hgh",IF(Table1[[#This Row],[Net_Sales]]&gt;10000,"Medium","Low"))</f>
        <v>Hgh</v>
      </c>
      <c r="T16" s="6" t="b">
        <f>AND(Table1[[#This Row],[Quantity]]&gt;=5,Table1[[#This Row],[Discount_Rate]]&gt;=10%)</f>
        <v>0</v>
      </c>
      <c r="U16" s="6" t="b">
        <f>OR(Table1[[#This Row],[Payment_Method]]="UPI",Table1[[#This Row],[Payment_Method]]="Cash")</f>
        <v>0</v>
      </c>
      <c r="V16" s="6">
        <f>IFERROR(Table1[[#This Row],[Net_Sales]]/Table1[[#This Row],[Quantity]],"ERROR")</f>
        <v>26790</v>
      </c>
      <c r="W16" s="6" t="str">
        <f>PROPER(TRIM(Table1[[#This Row],[Customer_Name]]))</f>
        <v>Ocean Traders</v>
      </c>
      <c r="X16" s="6" t="str">
        <f>PROPER(TRIM(Table1[[#This Row],[Region]]))</f>
        <v>West</v>
      </c>
      <c r="Y16" s="6">
        <f>YEAR(Table1[[#This Row],[Date]])</f>
        <v>2026</v>
      </c>
      <c r="Z16" s="6">
        <f>MONTH(Table1[[#This Row],[Date]])</f>
        <v>1</v>
      </c>
      <c r="AA16" s="6" t="str">
        <f>MID(Table1[[#This Row],[Transaction_ID]],4,7)</f>
        <v>1015</v>
      </c>
      <c r="AB16" s="6" t="str">
        <f>_xlfn.CONCAT(Table1[[#This Row],[Region]],"-",Table1[[#This Row],[Category]])</f>
        <v>West-Electronics</v>
      </c>
    </row>
    <row r="17" spans="1:28">
      <c r="A17" s="10" t="s">
        <v>82</v>
      </c>
      <c r="B17" s="11">
        <v>46047</v>
      </c>
      <c r="C17" s="12" t="s">
        <v>38</v>
      </c>
      <c r="D17" s="12" t="s">
        <v>24</v>
      </c>
      <c r="E17" s="12" t="s">
        <v>83</v>
      </c>
      <c r="F17" s="12" t="s">
        <v>47</v>
      </c>
      <c r="G17" s="12" t="s">
        <v>84</v>
      </c>
      <c r="H17" s="12">
        <v>7</v>
      </c>
      <c r="I17" s="13">
        <v>1500</v>
      </c>
      <c r="J17" s="14">
        <v>0.1</v>
      </c>
      <c r="K17" s="12" t="s">
        <v>19</v>
      </c>
      <c r="L17" s="12" t="s">
        <v>20</v>
      </c>
      <c r="M17" s="12" t="s">
        <v>44</v>
      </c>
      <c r="N17" s="6">
        <f>Table1[[#This Row],[Quantity]]*Table1[[#This Row],[Unit_Price_INR]]</f>
        <v>10500</v>
      </c>
      <c r="O17" s="6">
        <f>Table1[[#This Row],[Gross sales]]*Table1[[#This Row],[Discount_Rate]]</f>
        <v>1050</v>
      </c>
      <c r="P17" s="6">
        <f>Table1[[#This Row],[Gross sales]]-Table1[[#This Row],[Discount_Amount]]</f>
        <v>9450</v>
      </c>
      <c r="Q17" s="6" t="str">
        <f>TEXT(Table1[[#This Row],[Date]],"mmmm")</f>
        <v>January</v>
      </c>
      <c r="R17" s="9" t="str">
        <f>IF(OR(Table1[[#This Row],[Status]]="Pending",Table1[[#This Row],[Status]]="Refunded"),"Review","OK")</f>
        <v>OK</v>
      </c>
      <c r="S17" s="6" t="str">
        <f>IF(Table1[[#This Row],[Net_Sales]]&gt;25000,"Hgh",IF(Table1[[#This Row],[Net_Sales]]&gt;10000,"Medium","Low"))</f>
        <v>Low</v>
      </c>
      <c r="T17" s="6" t="b">
        <f>AND(Table1[[#This Row],[Quantity]]&gt;=5,Table1[[#This Row],[Discount_Rate]]&gt;=10%)</f>
        <v>1</v>
      </c>
      <c r="U17" s="6" t="b">
        <f>OR(Table1[[#This Row],[Payment_Method]]="UPI",Table1[[#This Row],[Payment_Method]]="Cash")</f>
        <v>1</v>
      </c>
      <c r="V17" s="6">
        <f>IFERROR(Table1[[#This Row],[Net_Sales]]/Table1[[#This Row],[Quantity]],"ERROR")</f>
        <v>1350</v>
      </c>
      <c r="W17" s="6" t="str">
        <f>PROPER(TRIM(Table1[[#This Row],[Customer_Name]]))</f>
        <v>Prime Retail</v>
      </c>
      <c r="X17" s="6" t="str">
        <f>PROPER(TRIM(Table1[[#This Row],[Region]]))</f>
        <v>East</v>
      </c>
      <c r="Y17" s="6">
        <f>YEAR(Table1[[#This Row],[Date]])</f>
        <v>2026</v>
      </c>
      <c r="Z17" s="6">
        <f>MONTH(Table1[[#This Row],[Date]])</f>
        <v>1</v>
      </c>
      <c r="AA17" s="6" t="str">
        <f>MID(Table1[[#This Row],[Transaction_ID]],4,7)</f>
        <v>1016</v>
      </c>
      <c r="AB17" s="6" t="str">
        <f>_xlfn.CONCAT(Table1[[#This Row],[Region]],"-",Table1[[#This Row],[Category]])</f>
        <v>East-Fashion</v>
      </c>
    </row>
    <row r="18" spans="1:28">
      <c r="A18" s="4" t="s">
        <v>85</v>
      </c>
      <c r="B18" s="5">
        <v>46049</v>
      </c>
      <c r="C18" s="6" t="s">
        <v>14</v>
      </c>
      <c r="D18" s="6" t="s">
        <v>15</v>
      </c>
      <c r="E18" s="6" t="s">
        <v>86</v>
      </c>
      <c r="F18" s="6" t="s">
        <v>33</v>
      </c>
      <c r="G18" s="6" t="s">
        <v>87</v>
      </c>
      <c r="H18" s="6">
        <v>15</v>
      </c>
      <c r="I18" s="7">
        <v>320</v>
      </c>
      <c r="J18" s="8">
        <v>0.05</v>
      </c>
      <c r="K18" s="6" t="s">
        <v>35</v>
      </c>
      <c r="L18" s="6" t="s">
        <v>20</v>
      </c>
      <c r="M18" s="6" t="s">
        <v>21</v>
      </c>
      <c r="N18" s="6">
        <f>Table1[[#This Row],[Quantity]]*Table1[[#This Row],[Unit_Price_INR]]</f>
        <v>4800</v>
      </c>
      <c r="O18" s="6">
        <f>Table1[[#This Row],[Gross sales]]*Table1[[#This Row],[Discount_Rate]]</f>
        <v>240</v>
      </c>
      <c r="P18" s="6">
        <f>Table1[[#This Row],[Gross sales]]-Table1[[#This Row],[Discount_Amount]]</f>
        <v>4560</v>
      </c>
      <c r="Q18" s="6" t="str">
        <f>TEXT(Table1[[#This Row],[Date]],"mmmm")</f>
        <v>January</v>
      </c>
      <c r="R18" s="9" t="str">
        <f>IF(OR(Table1[[#This Row],[Status]]="Pending",Table1[[#This Row],[Status]]="Refunded"),"Review","OK")</f>
        <v>OK</v>
      </c>
      <c r="S18" s="6" t="str">
        <f>IF(Table1[[#This Row],[Net_Sales]]&gt;25000,"Hgh",IF(Table1[[#This Row],[Net_Sales]]&gt;10000,"Medium","Low"))</f>
        <v>Low</v>
      </c>
      <c r="T18" s="6" t="b">
        <f>AND(Table1[[#This Row],[Quantity]]&gt;=5,Table1[[#This Row],[Discount_Rate]]&gt;=10%)</f>
        <v>0</v>
      </c>
      <c r="U18" s="6" t="b">
        <f>OR(Table1[[#This Row],[Payment_Method]]="UPI",Table1[[#This Row],[Payment_Method]]="Cash")</f>
        <v>1</v>
      </c>
      <c r="V18" s="6">
        <f>IFERROR(Table1[[#This Row],[Net_Sales]]/Table1[[#This Row],[Quantity]],"ERROR")</f>
        <v>304</v>
      </c>
      <c r="W18" s="6" t="str">
        <f>PROPER(TRIM(Table1[[#This Row],[Customer_Name]]))</f>
        <v>Quick Buy</v>
      </c>
      <c r="X18" s="6" t="str">
        <f>PROPER(TRIM(Table1[[#This Row],[Region]]))</f>
        <v>North</v>
      </c>
      <c r="Y18" s="6">
        <f>YEAR(Table1[[#This Row],[Date]])</f>
        <v>2026</v>
      </c>
      <c r="Z18" s="6">
        <f>MONTH(Table1[[#This Row],[Date]])</f>
        <v>1</v>
      </c>
      <c r="AA18" s="6" t="str">
        <f>MID(Table1[[#This Row],[Transaction_ID]],4,7)</f>
        <v>1017</v>
      </c>
      <c r="AB18" s="6" t="str">
        <f>_xlfn.CONCAT(Table1[[#This Row],[Region]],"-",Table1[[#This Row],[Category]])</f>
        <v>North-Grocery</v>
      </c>
    </row>
    <row r="19" spans="1:28">
      <c r="A19" s="10" t="s">
        <v>88</v>
      </c>
      <c r="B19" s="11">
        <v>46051</v>
      </c>
      <c r="C19" s="12" t="s">
        <v>23</v>
      </c>
      <c r="D19" s="12" t="s">
        <v>39</v>
      </c>
      <c r="E19" s="12" t="s">
        <v>89</v>
      </c>
      <c r="F19" s="12" t="s">
        <v>26</v>
      </c>
      <c r="G19" s="12" t="s">
        <v>90</v>
      </c>
      <c r="H19" s="12">
        <v>2</v>
      </c>
      <c r="I19" s="13">
        <v>12500</v>
      </c>
      <c r="J19" s="14">
        <v>0.08</v>
      </c>
      <c r="K19" s="12" t="s">
        <v>43</v>
      </c>
      <c r="L19" s="12" t="s">
        <v>56</v>
      </c>
      <c r="M19" s="12" t="s">
        <v>29</v>
      </c>
      <c r="N19" s="6">
        <f>Table1[[#This Row],[Quantity]]*Table1[[#This Row],[Unit_Price_INR]]</f>
        <v>25000</v>
      </c>
      <c r="O19" s="6">
        <f>Table1[[#This Row],[Gross sales]]*Table1[[#This Row],[Discount_Rate]]</f>
        <v>2000</v>
      </c>
      <c r="P19" s="6">
        <f>Table1[[#This Row],[Gross sales]]-Table1[[#This Row],[Discount_Amount]]</f>
        <v>23000</v>
      </c>
      <c r="Q19" s="6" t="str">
        <f>TEXT(Table1[[#This Row],[Date]],"mmmm")</f>
        <v>January</v>
      </c>
      <c r="R19" s="9" t="str">
        <f>IF(OR(Table1[[#This Row],[Status]]="Pending",Table1[[#This Row],[Status]]="Refunded"),"Review","OK")</f>
        <v>Review</v>
      </c>
      <c r="S19" s="6" t="str">
        <f>IF(Table1[[#This Row],[Net_Sales]]&gt;25000,"Hgh",IF(Table1[[#This Row],[Net_Sales]]&gt;10000,"Medium","Low"))</f>
        <v>Medium</v>
      </c>
      <c r="T19" s="6" t="b">
        <f>AND(Table1[[#This Row],[Quantity]]&gt;=5,Table1[[#This Row],[Discount_Rate]]&gt;=10%)</f>
        <v>0</v>
      </c>
      <c r="U19" s="6" t="b">
        <f>OR(Table1[[#This Row],[Payment_Method]]="UPI",Table1[[#This Row],[Payment_Method]]="Cash")</f>
        <v>0</v>
      </c>
      <c r="V19" s="6">
        <f>IFERROR(Table1[[#This Row],[Net_Sales]]/Table1[[#This Row],[Quantity]],"ERROR")</f>
        <v>11500</v>
      </c>
      <c r="W19" s="6" t="str">
        <f>PROPER(TRIM(Table1[[#This Row],[Customer_Name]]))</f>
        <v>Royal Mart</v>
      </c>
      <c r="X19" s="6" t="str">
        <f>PROPER(TRIM(Table1[[#This Row],[Region]]))</f>
        <v>South</v>
      </c>
      <c r="Y19" s="6">
        <f>YEAR(Table1[[#This Row],[Date]])</f>
        <v>2026</v>
      </c>
      <c r="Z19" s="6">
        <f>MONTH(Table1[[#This Row],[Date]])</f>
        <v>1</v>
      </c>
      <c r="AA19" s="6" t="str">
        <f>MID(Table1[[#This Row],[Transaction_ID]],4,7)</f>
        <v>1018</v>
      </c>
      <c r="AB19" s="6" t="str">
        <f>_xlfn.CONCAT(Table1[[#This Row],[Region]],"-",Table1[[#This Row],[Category]])</f>
        <v>South-Home</v>
      </c>
    </row>
    <row r="20" spans="1:28">
      <c r="A20" s="4" t="s">
        <v>91</v>
      </c>
      <c r="B20" s="5">
        <v>46055</v>
      </c>
      <c r="C20" s="6" t="s">
        <v>31</v>
      </c>
      <c r="D20" s="6" t="s">
        <v>24</v>
      </c>
      <c r="E20" s="6" t="s">
        <v>92</v>
      </c>
      <c r="F20" s="6" t="s">
        <v>17</v>
      </c>
      <c r="G20" s="6" t="s">
        <v>93</v>
      </c>
      <c r="H20" s="6">
        <v>4</v>
      </c>
      <c r="I20" s="7">
        <v>22000</v>
      </c>
      <c r="J20" s="8">
        <v>0.12</v>
      </c>
      <c r="K20" s="6" t="s">
        <v>28</v>
      </c>
      <c r="L20" s="6" t="s">
        <v>20</v>
      </c>
      <c r="M20" s="6" t="s">
        <v>36</v>
      </c>
      <c r="N20" s="6">
        <f>Table1[[#This Row],[Quantity]]*Table1[[#This Row],[Unit_Price_INR]]</f>
        <v>88000</v>
      </c>
      <c r="O20" s="6">
        <f>Table1[[#This Row],[Gross sales]]*Table1[[#This Row],[Discount_Rate]]</f>
        <v>10560</v>
      </c>
      <c r="P20" s="6">
        <f>Table1[[#This Row],[Gross sales]]-Table1[[#This Row],[Discount_Amount]]</f>
        <v>77440</v>
      </c>
      <c r="Q20" s="6" t="str">
        <f>TEXT(Table1[[#This Row],[Date]],"mmmm")</f>
        <v>February</v>
      </c>
      <c r="R20" s="9" t="str">
        <f>IF(OR(Table1[[#This Row],[Status]]="Pending",Table1[[#This Row],[Status]]="Refunded"),"Review","OK")</f>
        <v>OK</v>
      </c>
      <c r="S20" s="6" t="str">
        <f>IF(Table1[[#This Row],[Net_Sales]]&gt;25000,"Hgh",IF(Table1[[#This Row],[Net_Sales]]&gt;10000,"Medium","Low"))</f>
        <v>Hgh</v>
      </c>
      <c r="T20" s="6" t="b">
        <f>AND(Table1[[#This Row],[Quantity]]&gt;=5,Table1[[#This Row],[Discount_Rate]]&gt;=10%)</f>
        <v>0</v>
      </c>
      <c r="U20" s="6" t="b">
        <f>OR(Table1[[#This Row],[Payment_Method]]="UPI",Table1[[#This Row],[Payment_Method]]="Cash")</f>
        <v>0</v>
      </c>
      <c r="V20" s="6">
        <f>IFERROR(Table1[[#This Row],[Net_Sales]]/Table1[[#This Row],[Quantity]],"ERROR")</f>
        <v>19360</v>
      </c>
      <c r="W20" s="6" t="str">
        <f>PROPER(TRIM(Table1[[#This Row],[Customer_Name]]))</f>
        <v>Sunrise Shop</v>
      </c>
      <c r="X20" s="6" t="str">
        <f>PROPER(TRIM(Table1[[#This Row],[Region]]))</f>
        <v>West</v>
      </c>
      <c r="Y20" s="6">
        <f>YEAR(Table1[[#This Row],[Date]])</f>
        <v>2026</v>
      </c>
      <c r="Z20" s="6">
        <f>MONTH(Table1[[#This Row],[Date]])</f>
        <v>2</v>
      </c>
      <c r="AA20" s="6" t="str">
        <f>MID(Table1[[#This Row],[Transaction_ID]],4,7)</f>
        <v>1019</v>
      </c>
      <c r="AB20" s="6" t="str">
        <f>_xlfn.CONCAT(Table1[[#This Row],[Region]],"-",Table1[[#This Row],[Category]])</f>
        <v>West-Electronics</v>
      </c>
    </row>
    <row r="21" spans="1:28" ht="15.75" customHeight="1">
      <c r="A21" s="10" t="s">
        <v>94</v>
      </c>
      <c r="B21" s="11">
        <v>46056</v>
      </c>
      <c r="C21" s="12" t="s">
        <v>38</v>
      </c>
      <c r="D21" s="12" t="s">
        <v>15</v>
      </c>
      <c r="E21" s="12" t="s">
        <v>95</v>
      </c>
      <c r="F21" s="12" t="s">
        <v>47</v>
      </c>
      <c r="G21" s="12" t="s">
        <v>96</v>
      </c>
      <c r="H21" s="12">
        <v>18</v>
      </c>
      <c r="I21" s="13">
        <v>650</v>
      </c>
      <c r="J21" s="14">
        <v>0.1</v>
      </c>
      <c r="K21" s="12" t="s">
        <v>19</v>
      </c>
      <c r="L21" s="12" t="s">
        <v>20</v>
      </c>
      <c r="M21" s="12" t="s">
        <v>44</v>
      </c>
      <c r="N21" s="6">
        <f>Table1[[#This Row],[Quantity]]*Table1[[#This Row],[Unit_Price_INR]]</f>
        <v>11700</v>
      </c>
      <c r="O21" s="6">
        <f>Table1[[#This Row],[Gross sales]]*Table1[[#This Row],[Discount_Rate]]</f>
        <v>1170</v>
      </c>
      <c r="P21" s="6">
        <f>Table1[[#This Row],[Gross sales]]-Table1[[#This Row],[Discount_Amount]]</f>
        <v>10530</v>
      </c>
      <c r="Q21" s="6" t="str">
        <f>TEXT(Table1[[#This Row],[Date]],"mmmm")</f>
        <v>February</v>
      </c>
      <c r="R21" s="9" t="str">
        <f>IF(OR(Table1[[#This Row],[Status]]="Pending",Table1[[#This Row],[Status]]="Refunded"),"Review","OK")</f>
        <v>OK</v>
      </c>
      <c r="S21" s="6" t="str">
        <f>IF(Table1[[#This Row],[Net_Sales]]&gt;25000,"Hgh",IF(Table1[[#This Row],[Net_Sales]]&gt;10000,"Medium","Low"))</f>
        <v>Medium</v>
      </c>
      <c r="T21" s="6" t="b">
        <f>AND(Table1[[#This Row],[Quantity]]&gt;=5,Table1[[#This Row],[Discount_Rate]]&gt;=10%)</f>
        <v>1</v>
      </c>
      <c r="U21" s="6" t="b">
        <f>OR(Table1[[#This Row],[Payment_Method]]="UPI",Table1[[#This Row],[Payment_Method]]="Cash")</f>
        <v>1</v>
      </c>
      <c r="V21" s="6">
        <f>IFERROR(Table1[[#This Row],[Net_Sales]]/Table1[[#This Row],[Quantity]],"ERROR")</f>
        <v>585</v>
      </c>
      <c r="W21" s="6" t="str">
        <f>PROPER(TRIM(Table1[[#This Row],[Customer_Name]]))</f>
        <v>Trinity Store</v>
      </c>
      <c r="X21" s="6" t="str">
        <f>PROPER(TRIM(Table1[[#This Row],[Region]]))</f>
        <v>East</v>
      </c>
      <c r="Y21" s="6">
        <f>YEAR(Table1[[#This Row],[Date]])</f>
        <v>2026</v>
      </c>
      <c r="Z21" s="6">
        <f>MONTH(Table1[[#This Row],[Date]])</f>
        <v>2</v>
      </c>
      <c r="AA21" s="6" t="str">
        <f>MID(Table1[[#This Row],[Transaction_ID]],4,7)</f>
        <v>1020</v>
      </c>
      <c r="AB21" s="6" t="str">
        <f>_xlfn.CONCAT(Table1[[#This Row],[Region]],"-",Table1[[#This Row],[Category]])</f>
        <v>East-Fashion</v>
      </c>
    </row>
    <row r="22" spans="1:28" ht="15.75" customHeight="1">
      <c r="A22" s="4" t="s">
        <v>97</v>
      </c>
      <c r="B22" s="5">
        <v>46058</v>
      </c>
      <c r="C22" s="6" t="s">
        <v>14</v>
      </c>
      <c r="D22" s="6" t="s">
        <v>39</v>
      </c>
      <c r="E22" s="6" t="s">
        <v>98</v>
      </c>
      <c r="F22" s="6" t="s">
        <v>41</v>
      </c>
      <c r="G22" s="6" t="s">
        <v>99</v>
      </c>
      <c r="H22" s="6">
        <v>3</v>
      </c>
      <c r="I22" s="7">
        <v>9800</v>
      </c>
      <c r="J22" s="8">
        <v>0.05</v>
      </c>
      <c r="K22" s="6" t="s">
        <v>43</v>
      </c>
      <c r="L22" s="6" t="s">
        <v>20</v>
      </c>
      <c r="M22" s="6" t="s">
        <v>21</v>
      </c>
      <c r="N22" s="6">
        <f>Table1[[#This Row],[Quantity]]*Table1[[#This Row],[Unit_Price_INR]]</f>
        <v>29400</v>
      </c>
      <c r="O22" s="6">
        <f>Table1[[#This Row],[Gross sales]]*Table1[[#This Row],[Discount_Rate]]</f>
        <v>1470</v>
      </c>
      <c r="P22" s="6">
        <f>Table1[[#This Row],[Gross sales]]-Table1[[#This Row],[Discount_Amount]]</f>
        <v>27930</v>
      </c>
      <c r="Q22" s="6" t="str">
        <f>TEXT(Table1[[#This Row],[Date]],"mmmm")</f>
        <v>February</v>
      </c>
      <c r="R22" s="9" t="str">
        <f>IF(OR(Table1[[#This Row],[Status]]="Pending",Table1[[#This Row],[Status]]="Refunded"),"Review","OK")</f>
        <v>OK</v>
      </c>
      <c r="S22" s="6" t="str">
        <f>IF(Table1[[#This Row],[Net_Sales]]&gt;25000,"Hgh",IF(Table1[[#This Row],[Net_Sales]]&gt;10000,"Medium","Low"))</f>
        <v>Hgh</v>
      </c>
      <c r="T22" s="6" t="b">
        <f>AND(Table1[[#This Row],[Quantity]]&gt;=5,Table1[[#This Row],[Discount_Rate]]&gt;=10%)</f>
        <v>0</v>
      </c>
      <c r="U22" s="6" t="b">
        <f>OR(Table1[[#This Row],[Payment_Method]]="UPI",Table1[[#This Row],[Payment_Method]]="Cash")</f>
        <v>0</v>
      </c>
      <c r="V22" s="6">
        <f>IFERROR(Table1[[#This Row],[Net_Sales]]/Table1[[#This Row],[Quantity]],"ERROR")</f>
        <v>9310</v>
      </c>
      <c r="W22" s="6" t="str">
        <f>PROPER(TRIM(Table1[[#This Row],[Customer_Name]]))</f>
        <v>Unity Traders</v>
      </c>
      <c r="X22" s="6" t="str">
        <f>PROPER(TRIM(Table1[[#This Row],[Region]]))</f>
        <v>North</v>
      </c>
      <c r="Y22" s="6">
        <f>YEAR(Table1[[#This Row],[Date]])</f>
        <v>2026</v>
      </c>
      <c r="Z22" s="6">
        <f>MONTH(Table1[[#This Row],[Date]])</f>
        <v>2</v>
      </c>
      <c r="AA22" s="6" t="str">
        <f>MID(Table1[[#This Row],[Transaction_ID]],4,7)</f>
        <v>1021</v>
      </c>
      <c r="AB22" s="6" t="str">
        <f>_xlfn.CONCAT(Table1[[#This Row],[Region]],"-",Table1[[#This Row],[Category]])</f>
        <v>North-Office</v>
      </c>
    </row>
    <row r="23" spans="1:28" ht="15.75" customHeight="1">
      <c r="A23" s="10" t="s">
        <v>100</v>
      </c>
      <c r="B23" s="11">
        <v>46060</v>
      </c>
      <c r="C23" s="12" t="s">
        <v>23</v>
      </c>
      <c r="D23" s="12" t="s">
        <v>24</v>
      </c>
      <c r="E23" s="12" t="s">
        <v>101</v>
      </c>
      <c r="F23" s="12" t="s">
        <v>33</v>
      </c>
      <c r="G23" s="12" t="s">
        <v>102</v>
      </c>
      <c r="H23" s="12">
        <v>10</v>
      </c>
      <c r="I23" s="13">
        <v>480</v>
      </c>
      <c r="J23" s="14">
        <v>0</v>
      </c>
      <c r="K23" s="12" t="s">
        <v>28</v>
      </c>
      <c r="L23" s="12" t="s">
        <v>20</v>
      </c>
      <c r="M23" s="12" t="s">
        <v>52</v>
      </c>
      <c r="N23" s="6">
        <f>Table1[[#This Row],[Quantity]]*Table1[[#This Row],[Unit_Price_INR]]</f>
        <v>4800</v>
      </c>
      <c r="O23" s="6">
        <f>Table1[[#This Row],[Gross sales]]*Table1[[#This Row],[Discount_Rate]]</f>
        <v>0</v>
      </c>
      <c r="P23" s="6">
        <f>Table1[[#This Row],[Gross sales]]-Table1[[#This Row],[Discount_Amount]]</f>
        <v>4800</v>
      </c>
      <c r="Q23" s="6" t="str">
        <f>TEXT(Table1[[#This Row],[Date]],"mmmm")</f>
        <v>February</v>
      </c>
      <c r="R23" s="9" t="str">
        <f>IF(OR(Table1[[#This Row],[Status]]="Pending",Table1[[#This Row],[Status]]="Refunded"),"Review","OK")</f>
        <v>OK</v>
      </c>
      <c r="S23" s="6" t="str">
        <f>IF(Table1[[#This Row],[Net_Sales]]&gt;25000,"Hgh",IF(Table1[[#This Row],[Net_Sales]]&gt;10000,"Medium","Low"))</f>
        <v>Low</v>
      </c>
      <c r="T23" s="6" t="b">
        <f>AND(Table1[[#This Row],[Quantity]]&gt;=5,Table1[[#This Row],[Discount_Rate]]&gt;=10%)</f>
        <v>0</v>
      </c>
      <c r="U23" s="6" t="b">
        <f>OR(Table1[[#This Row],[Payment_Method]]="UPI",Table1[[#This Row],[Payment_Method]]="Cash")</f>
        <v>0</v>
      </c>
      <c r="V23" s="6">
        <f>IFERROR(Table1[[#This Row],[Net_Sales]]/Table1[[#This Row],[Quantity]],"ERROR")</f>
        <v>480</v>
      </c>
      <c r="W23" s="6" t="str">
        <f>PROPER(TRIM(Table1[[#This Row],[Customer_Name]]))</f>
        <v>Value Hub</v>
      </c>
      <c r="X23" s="6" t="str">
        <f>PROPER(TRIM(Table1[[#This Row],[Region]]))</f>
        <v>South</v>
      </c>
      <c r="Y23" s="6">
        <f>YEAR(Table1[[#This Row],[Date]])</f>
        <v>2026</v>
      </c>
      <c r="Z23" s="6">
        <f>MONTH(Table1[[#This Row],[Date]])</f>
        <v>2</v>
      </c>
      <c r="AA23" s="6" t="str">
        <f>MID(Table1[[#This Row],[Transaction_ID]],4,7)</f>
        <v>1022</v>
      </c>
      <c r="AB23" s="6" t="str">
        <f>_xlfn.CONCAT(Table1[[#This Row],[Region]],"-",Table1[[#This Row],[Category]])</f>
        <v>South-Grocery</v>
      </c>
    </row>
    <row r="24" spans="1:28" ht="15.75" customHeight="1">
      <c r="A24" s="4" t="s">
        <v>103</v>
      </c>
      <c r="B24" s="5">
        <v>46061</v>
      </c>
      <c r="C24" s="6" t="s">
        <v>31</v>
      </c>
      <c r="D24" s="6" t="s">
        <v>15</v>
      </c>
      <c r="E24" s="6" t="s">
        <v>104</v>
      </c>
      <c r="F24" s="6" t="s">
        <v>26</v>
      </c>
      <c r="G24" s="6" t="s">
        <v>105</v>
      </c>
      <c r="H24" s="6">
        <v>2</v>
      </c>
      <c r="I24" s="7">
        <v>16800</v>
      </c>
      <c r="J24" s="8">
        <v>7.0000000000000007E-2</v>
      </c>
      <c r="K24" s="6" t="s">
        <v>19</v>
      </c>
      <c r="L24" s="6" t="s">
        <v>20</v>
      </c>
      <c r="M24" s="6" t="s">
        <v>36</v>
      </c>
      <c r="N24" s="6">
        <f>Table1[[#This Row],[Quantity]]*Table1[[#This Row],[Unit_Price_INR]]</f>
        <v>33600</v>
      </c>
      <c r="O24" s="6">
        <f>Table1[[#This Row],[Gross sales]]*Table1[[#This Row],[Discount_Rate]]</f>
        <v>2352</v>
      </c>
      <c r="P24" s="6">
        <f>Table1[[#This Row],[Gross sales]]-Table1[[#This Row],[Discount_Amount]]</f>
        <v>31248</v>
      </c>
      <c r="Q24" s="6" t="str">
        <f>TEXT(Table1[[#This Row],[Date]],"mmmm")</f>
        <v>February</v>
      </c>
      <c r="R24" s="9" t="str">
        <f>IF(OR(Table1[[#This Row],[Status]]="Pending",Table1[[#This Row],[Status]]="Refunded"),"Review","OK")</f>
        <v>OK</v>
      </c>
      <c r="S24" s="6" t="str">
        <f>IF(Table1[[#This Row],[Net_Sales]]&gt;25000,"Hgh",IF(Table1[[#This Row],[Net_Sales]]&gt;10000,"Medium","Low"))</f>
        <v>Hgh</v>
      </c>
      <c r="T24" s="6" t="b">
        <f>AND(Table1[[#This Row],[Quantity]]&gt;=5,Table1[[#This Row],[Discount_Rate]]&gt;=10%)</f>
        <v>0</v>
      </c>
      <c r="U24" s="6" t="b">
        <f>OR(Table1[[#This Row],[Payment_Method]]="UPI",Table1[[#This Row],[Payment_Method]]="Cash")</f>
        <v>1</v>
      </c>
      <c r="V24" s="6">
        <f>IFERROR(Table1[[#This Row],[Net_Sales]]/Table1[[#This Row],[Quantity]],"ERROR")</f>
        <v>15624</v>
      </c>
      <c r="W24" s="6" t="str">
        <f>PROPER(TRIM(Table1[[#This Row],[Customer_Name]]))</f>
        <v>Willow Mart</v>
      </c>
      <c r="X24" s="6" t="str">
        <f>PROPER(TRIM(Table1[[#This Row],[Region]]))</f>
        <v>West</v>
      </c>
      <c r="Y24" s="6">
        <f>YEAR(Table1[[#This Row],[Date]])</f>
        <v>2026</v>
      </c>
      <c r="Z24" s="6">
        <f>MONTH(Table1[[#This Row],[Date]])</f>
        <v>2</v>
      </c>
      <c r="AA24" s="6" t="str">
        <f>MID(Table1[[#This Row],[Transaction_ID]],4,7)</f>
        <v>1023</v>
      </c>
      <c r="AB24" s="6" t="str">
        <f>_xlfn.CONCAT(Table1[[#This Row],[Region]],"-",Table1[[#This Row],[Category]])</f>
        <v>West-Home</v>
      </c>
    </row>
    <row r="25" spans="1:28" ht="15.75" customHeight="1">
      <c r="A25" s="10" t="s">
        <v>106</v>
      </c>
      <c r="B25" s="11">
        <v>46063</v>
      </c>
      <c r="C25" s="12" t="s">
        <v>38</v>
      </c>
      <c r="D25" s="12" t="s">
        <v>39</v>
      </c>
      <c r="E25" s="12" t="s">
        <v>107</v>
      </c>
      <c r="F25" s="12" t="s">
        <v>17</v>
      </c>
      <c r="G25" s="12" t="s">
        <v>108</v>
      </c>
      <c r="H25" s="12">
        <v>15</v>
      </c>
      <c r="I25" s="13">
        <v>950</v>
      </c>
      <c r="J25" s="14">
        <v>0.04</v>
      </c>
      <c r="K25" s="12" t="s">
        <v>43</v>
      </c>
      <c r="L25" s="12" t="s">
        <v>20</v>
      </c>
      <c r="M25" s="12" t="s">
        <v>44</v>
      </c>
      <c r="N25" s="6">
        <f>Table1[[#This Row],[Quantity]]*Table1[[#This Row],[Unit_Price_INR]]</f>
        <v>14250</v>
      </c>
      <c r="O25" s="6">
        <f>Table1[[#This Row],[Gross sales]]*Table1[[#This Row],[Discount_Rate]]</f>
        <v>570</v>
      </c>
      <c r="P25" s="6">
        <f>Table1[[#This Row],[Gross sales]]-Table1[[#This Row],[Discount_Amount]]</f>
        <v>13680</v>
      </c>
      <c r="Q25" s="6" t="str">
        <f>TEXT(Table1[[#This Row],[Date]],"mmmm")</f>
        <v>February</v>
      </c>
      <c r="R25" s="9" t="str">
        <f>IF(OR(Table1[[#This Row],[Status]]="Pending",Table1[[#This Row],[Status]]="Refunded"),"Review","OK")</f>
        <v>OK</v>
      </c>
      <c r="S25" s="6" t="str">
        <f>IF(Table1[[#This Row],[Net_Sales]]&gt;25000,"Hgh",IF(Table1[[#This Row],[Net_Sales]]&gt;10000,"Medium","Low"))</f>
        <v>Medium</v>
      </c>
      <c r="T25" s="6" t="b">
        <f>AND(Table1[[#This Row],[Quantity]]&gt;=5,Table1[[#This Row],[Discount_Rate]]&gt;=10%)</f>
        <v>0</v>
      </c>
      <c r="U25" s="6" t="b">
        <f>OR(Table1[[#This Row],[Payment_Method]]="UPI",Table1[[#This Row],[Payment_Method]]="Cash")</f>
        <v>0</v>
      </c>
      <c r="V25" s="6">
        <f>IFERROR(Table1[[#This Row],[Net_Sales]]/Table1[[#This Row],[Quantity]],"ERROR")</f>
        <v>912</v>
      </c>
      <c r="W25" s="6" t="str">
        <f>PROPER(TRIM(Table1[[#This Row],[Customer_Name]]))</f>
        <v>Xpress Distributors</v>
      </c>
      <c r="X25" s="6" t="str">
        <f>PROPER(TRIM(Table1[[#This Row],[Region]]))</f>
        <v>East</v>
      </c>
      <c r="Y25" s="6">
        <f>YEAR(Table1[[#This Row],[Date]])</f>
        <v>2026</v>
      </c>
      <c r="Z25" s="6">
        <f>MONTH(Table1[[#This Row],[Date]])</f>
        <v>2</v>
      </c>
      <c r="AA25" s="6" t="str">
        <f>MID(Table1[[#This Row],[Transaction_ID]],4,7)</f>
        <v>1024</v>
      </c>
      <c r="AB25" s="6" t="str">
        <f>_xlfn.CONCAT(Table1[[#This Row],[Region]],"-",Table1[[#This Row],[Category]])</f>
        <v>East-Electronics</v>
      </c>
    </row>
    <row r="26" spans="1:28" ht="15.75" customHeight="1">
      <c r="A26" s="4" t="s">
        <v>109</v>
      </c>
      <c r="B26" s="5">
        <v>46065</v>
      </c>
      <c r="C26" s="6" t="s">
        <v>14</v>
      </c>
      <c r="D26" s="6" t="s">
        <v>24</v>
      </c>
      <c r="E26" s="6" t="s">
        <v>110</v>
      </c>
      <c r="F26" s="6" t="s">
        <v>47</v>
      </c>
      <c r="G26" s="6" t="s">
        <v>111</v>
      </c>
      <c r="H26" s="6">
        <v>9</v>
      </c>
      <c r="I26" s="7">
        <v>1750</v>
      </c>
      <c r="J26" s="8">
        <v>0.15</v>
      </c>
      <c r="K26" s="6" t="s">
        <v>28</v>
      </c>
      <c r="L26" s="6" t="s">
        <v>20</v>
      </c>
      <c r="M26" s="6" t="s">
        <v>21</v>
      </c>
      <c r="N26" s="6">
        <f>Table1[[#This Row],[Quantity]]*Table1[[#This Row],[Unit_Price_INR]]</f>
        <v>15750</v>
      </c>
      <c r="O26" s="6">
        <f>Table1[[#This Row],[Gross sales]]*Table1[[#This Row],[Discount_Rate]]</f>
        <v>2362.5</v>
      </c>
      <c r="P26" s="6">
        <f>Table1[[#This Row],[Gross sales]]-Table1[[#This Row],[Discount_Amount]]</f>
        <v>13387.5</v>
      </c>
      <c r="Q26" s="6" t="str">
        <f>TEXT(Table1[[#This Row],[Date]],"mmmm")</f>
        <v>February</v>
      </c>
      <c r="R26" s="9" t="str">
        <f>IF(OR(Table1[[#This Row],[Status]]="Pending",Table1[[#This Row],[Status]]="Refunded"),"Review","OK")</f>
        <v>OK</v>
      </c>
      <c r="S26" s="6" t="str">
        <f>IF(Table1[[#This Row],[Net_Sales]]&gt;25000,"Hgh",IF(Table1[[#This Row],[Net_Sales]]&gt;10000,"Medium","Low"))</f>
        <v>Medium</v>
      </c>
      <c r="T26" s="6" t="b">
        <f>AND(Table1[[#This Row],[Quantity]]&gt;=5,Table1[[#This Row],[Discount_Rate]]&gt;=10%)</f>
        <v>1</v>
      </c>
      <c r="U26" s="6" t="b">
        <f>OR(Table1[[#This Row],[Payment_Method]]="UPI",Table1[[#This Row],[Payment_Method]]="Cash")</f>
        <v>0</v>
      </c>
      <c r="V26" s="6">
        <f>IFERROR(Table1[[#This Row],[Net_Sales]]/Table1[[#This Row],[Quantity]],"ERROR")</f>
        <v>1487.5</v>
      </c>
      <c r="W26" s="6" t="str">
        <f>PROPER(TRIM(Table1[[#This Row],[Customer_Name]]))</f>
        <v>Yellow Basket</v>
      </c>
      <c r="X26" s="6" t="str">
        <f>PROPER(TRIM(Table1[[#This Row],[Region]]))</f>
        <v>North</v>
      </c>
      <c r="Y26" s="6">
        <f>YEAR(Table1[[#This Row],[Date]])</f>
        <v>2026</v>
      </c>
      <c r="Z26" s="6">
        <f>MONTH(Table1[[#This Row],[Date]])</f>
        <v>2</v>
      </c>
      <c r="AA26" s="6" t="str">
        <f>MID(Table1[[#This Row],[Transaction_ID]],4,7)</f>
        <v>1025</v>
      </c>
      <c r="AB26" s="6" t="str">
        <f>_xlfn.CONCAT(Table1[[#This Row],[Region]],"-",Table1[[#This Row],[Category]])</f>
        <v>North-Fashion</v>
      </c>
    </row>
    <row r="27" spans="1:28" ht="15.75" customHeight="1">
      <c r="A27" s="10" t="s">
        <v>112</v>
      </c>
      <c r="B27" s="11">
        <v>46067</v>
      </c>
      <c r="C27" s="12" t="s">
        <v>23</v>
      </c>
      <c r="D27" s="12" t="s">
        <v>15</v>
      </c>
      <c r="E27" s="12" t="s">
        <v>113</v>
      </c>
      <c r="F27" s="12" t="s">
        <v>41</v>
      </c>
      <c r="G27" s="12" t="s">
        <v>114</v>
      </c>
      <c r="H27" s="12">
        <v>12</v>
      </c>
      <c r="I27" s="13">
        <v>850</v>
      </c>
      <c r="J27" s="14">
        <v>0.03</v>
      </c>
      <c r="K27" s="12" t="s">
        <v>35</v>
      </c>
      <c r="L27" s="12" t="s">
        <v>20</v>
      </c>
      <c r="M27" s="12" t="s">
        <v>52</v>
      </c>
      <c r="N27" s="6">
        <f>Table1[[#This Row],[Quantity]]*Table1[[#This Row],[Unit_Price_INR]]</f>
        <v>10200</v>
      </c>
      <c r="O27" s="6">
        <f>Table1[[#This Row],[Gross sales]]*Table1[[#This Row],[Discount_Rate]]</f>
        <v>306</v>
      </c>
      <c r="P27" s="6">
        <f>Table1[[#This Row],[Gross sales]]-Table1[[#This Row],[Discount_Amount]]</f>
        <v>9894</v>
      </c>
      <c r="Q27" s="6" t="str">
        <f>TEXT(Table1[[#This Row],[Date]],"mmmm")</f>
        <v>February</v>
      </c>
      <c r="R27" s="9" t="str">
        <f>IF(OR(Table1[[#This Row],[Status]]="Pending",Table1[[#This Row],[Status]]="Refunded"),"Review","OK")</f>
        <v>OK</v>
      </c>
      <c r="S27" s="6" t="str">
        <f>IF(Table1[[#This Row],[Net_Sales]]&gt;25000,"Hgh",IF(Table1[[#This Row],[Net_Sales]]&gt;10000,"Medium","Low"))</f>
        <v>Low</v>
      </c>
      <c r="T27" s="6" t="b">
        <f>AND(Table1[[#This Row],[Quantity]]&gt;=5,Table1[[#This Row],[Discount_Rate]]&gt;=10%)</f>
        <v>0</v>
      </c>
      <c r="U27" s="6" t="b">
        <f>OR(Table1[[#This Row],[Payment_Method]]="UPI",Table1[[#This Row],[Payment_Method]]="Cash")</f>
        <v>1</v>
      </c>
      <c r="V27" s="6">
        <f>IFERROR(Table1[[#This Row],[Net_Sales]]/Table1[[#This Row],[Quantity]],"ERROR")</f>
        <v>824.5</v>
      </c>
      <c r="W27" s="6" t="str">
        <f>PROPER(TRIM(Table1[[#This Row],[Customer_Name]]))</f>
        <v>Zenith Shop</v>
      </c>
      <c r="X27" s="6" t="str">
        <f>PROPER(TRIM(Table1[[#This Row],[Region]]))</f>
        <v>South</v>
      </c>
      <c r="Y27" s="6">
        <f>YEAR(Table1[[#This Row],[Date]])</f>
        <v>2026</v>
      </c>
      <c r="Z27" s="6">
        <f>MONTH(Table1[[#This Row],[Date]])</f>
        <v>2</v>
      </c>
      <c r="AA27" s="6" t="str">
        <f>MID(Table1[[#This Row],[Transaction_ID]],4,7)</f>
        <v>1026</v>
      </c>
      <c r="AB27" s="6" t="str">
        <f>_xlfn.CONCAT(Table1[[#This Row],[Region]],"-",Table1[[#This Row],[Category]])</f>
        <v>South-Office</v>
      </c>
    </row>
    <row r="28" spans="1:28" ht="15.75" customHeight="1">
      <c r="A28" s="4" t="s">
        <v>115</v>
      </c>
      <c r="B28" s="5">
        <v>46069</v>
      </c>
      <c r="C28" s="6" t="s">
        <v>31</v>
      </c>
      <c r="D28" s="6" t="s">
        <v>39</v>
      </c>
      <c r="E28" s="6" t="s">
        <v>116</v>
      </c>
      <c r="F28" s="6" t="s">
        <v>33</v>
      </c>
      <c r="G28" s="6" t="s">
        <v>117</v>
      </c>
      <c r="H28" s="6">
        <v>18</v>
      </c>
      <c r="I28" s="7">
        <v>720</v>
      </c>
      <c r="J28" s="8">
        <v>0</v>
      </c>
      <c r="K28" s="6" t="s">
        <v>43</v>
      </c>
      <c r="L28" s="6" t="s">
        <v>118</v>
      </c>
      <c r="M28" s="6" t="s">
        <v>36</v>
      </c>
      <c r="N28" s="6">
        <f>Table1[[#This Row],[Quantity]]*Table1[[#This Row],[Unit_Price_INR]]</f>
        <v>12960</v>
      </c>
      <c r="O28" s="6">
        <f>Table1[[#This Row],[Gross sales]]*Table1[[#This Row],[Discount_Rate]]</f>
        <v>0</v>
      </c>
      <c r="P28" s="6">
        <f>Table1[[#This Row],[Gross sales]]-Table1[[#This Row],[Discount_Amount]]</f>
        <v>12960</v>
      </c>
      <c r="Q28" s="6" t="str">
        <f>TEXT(Table1[[#This Row],[Date]],"mmmm")</f>
        <v>February</v>
      </c>
      <c r="R28" s="9" t="str">
        <f>IF(OR(Table1[[#This Row],[Status]]="Pending",Table1[[#This Row],[Status]]="Refunded"),"Review","OK")</f>
        <v>OK</v>
      </c>
      <c r="S28" s="6" t="str">
        <f>IF(Table1[[#This Row],[Net_Sales]]&gt;25000,"Hgh",IF(Table1[[#This Row],[Net_Sales]]&gt;10000,"Medium","Low"))</f>
        <v>Medium</v>
      </c>
      <c r="T28" s="6" t="b">
        <f>AND(Table1[[#This Row],[Quantity]]&gt;=5,Table1[[#This Row],[Discount_Rate]]&gt;=10%)</f>
        <v>0</v>
      </c>
      <c r="U28" s="6" t="b">
        <f>OR(Table1[[#This Row],[Payment_Method]]="UPI",Table1[[#This Row],[Payment_Method]]="Cash")</f>
        <v>0</v>
      </c>
      <c r="V28" s="6">
        <f>IFERROR(Table1[[#This Row],[Net_Sales]]/Table1[[#This Row],[Quantity]],"ERROR")</f>
        <v>720</v>
      </c>
      <c r="W28" s="6" t="str">
        <f>PROPER(TRIM(Table1[[#This Row],[Customer_Name]]))</f>
        <v>Apex Traders</v>
      </c>
      <c r="X28" s="6" t="str">
        <f>PROPER(TRIM(Table1[[#This Row],[Region]]))</f>
        <v>West</v>
      </c>
      <c r="Y28" s="6">
        <f>YEAR(Table1[[#This Row],[Date]])</f>
        <v>2026</v>
      </c>
      <c r="Z28" s="6">
        <f>MONTH(Table1[[#This Row],[Date]])</f>
        <v>2</v>
      </c>
      <c r="AA28" s="6" t="str">
        <f>MID(Table1[[#This Row],[Transaction_ID]],4,7)</f>
        <v>1027</v>
      </c>
      <c r="AB28" s="6" t="str">
        <f>_xlfn.CONCAT(Table1[[#This Row],[Region]],"-",Table1[[#This Row],[Category]])</f>
        <v>West-Grocery</v>
      </c>
    </row>
    <row r="29" spans="1:28" ht="15.75" customHeight="1">
      <c r="A29" s="10" t="s">
        <v>119</v>
      </c>
      <c r="B29" s="11">
        <v>46071</v>
      </c>
      <c r="C29" s="12" t="s">
        <v>38</v>
      </c>
      <c r="D29" s="12" t="s">
        <v>24</v>
      </c>
      <c r="E29" s="12" t="s">
        <v>120</v>
      </c>
      <c r="F29" s="12" t="s">
        <v>26</v>
      </c>
      <c r="G29" s="12" t="s">
        <v>121</v>
      </c>
      <c r="H29" s="12">
        <v>6</v>
      </c>
      <c r="I29" s="13">
        <v>2600</v>
      </c>
      <c r="J29" s="14">
        <v>0.08</v>
      </c>
      <c r="K29" s="12" t="s">
        <v>19</v>
      </c>
      <c r="L29" s="12" t="s">
        <v>20</v>
      </c>
      <c r="M29" s="12" t="s">
        <v>44</v>
      </c>
      <c r="N29" s="6">
        <f>Table1[[#This Row],[Quantity]]*Table1[[#This Row],[Unit_Price_INR]]</f>
        <v>15600</v>
      </c>
      <c r="O29" s="6">
        <f>Table1[[#This Row],[Gross sales]]*Table1[[#This Row],[Discount_Rate]]</f>
        <v>1248</v>
      </c>
      <c r="P29" s="6">
        <f>Table1[[#This Row],[Gross sales]]-Table1[[#This Row],[Discount_Amount]]</f>
        <v>14352</v>
      </c>
      <c r="Q29" s="6" t="str">
        <f>TEXT(Table1[[#This Row],[Date]],"mmmm")</f>
        <v>February</v>
      </c>
      <c r="R29" s="9" t="str">
        <f>IF(OR(Table1[[#This Row],[Status]]="Pending",Table1[[#This Row],[Status]]="Refunded"),"Review","OK")</f>
        <v>OK</v>
      </c>
      <c r="S29" s="6" t="str">
        <f>IF(Table1[[#This Row],[Net_Sales]]&gt;25000,"Hgh",IF(Table1[[#This Row],[Net_Sales]]&gt;10000,"Medium","Low"))</f>
        <v>Medium</v>
      </c>
      <c r="T29" s="6" t="b">
        <f>AND(Table1[[#This Row],[Quantity]]&gt;=5,Table1[[#This Row],[Discount_Rate]]&gt;=10%)</f>
        <v>0</v>
      </c>
      <c r="U29" s="6" t="b">
        <f>OR(Table1[[#This Row],[Payment_Method]]="UPI",Table1[[#This Row],[Payment_Method]]="Cash")</f>
        <v>1</v>
      </c>
      <c r="V29" s="6">
        <f>IFERROR(Table1[[#This Row],[Net_Sales]]/Table1[[#This Row],[Quantity]],"ERROR")</f>
        <v>2392</v>
      </c>
      <c r="W29" s="6" t="str">
        <f>PROPER(TRIM(Table1[[#This Row],[Customer_Name]]))</f>
        <v>Bluebird Store</v>
      </c>
      <c r="X29" s="6" t="str">
        <f>PROPER(TRIM(Table1[[#This Row],[Region]]))</f>
        <v>East</v>
      </c>
      <c r="Y29" s="6">
        <f>YEAR(Table1[[#This Row],[Date]])</f>
        <v>2026</v>
      </c>
      <c r="Z29" s="6">
        <f>MONTH(Table1[[#This Row],[Date]])</f>
        <v>2</v>
      </c>
      <c r="AA29" s="6" t="str">
        <f>MID(Table1[[#This Row],[Transaction_ID]],4,7)</f>
        <v>1028</v>
      </c>
      <c r="AB29" s="6" t="str">
        <f>_xlfn.CONCAT(Table1[[#This Row],[Region]],"-",Table1[[#This Row],[Category]])</f>
        <v>East-Home</v>
      </c>
    </row>
    <row r="30" spans="1:28" ht="15.75" customHeight="1">
      <c r="A30" s="4" t="s">
        <v>122</v>
      </c>
      <c r="B30" s="5">
        <v>46073</v>
      </c>
      <c r="C30" s="6" t="s">
        <v>14</v>
      </c>
      <c r="D30" s="6" t="s">
        <v>15</v>
      </c>
      <c r="E30" s="6" t="s">
        <v>123</v>
      </c>
      <c r="F30" s="6" t="s">
        <v>17</v>
      </c>
      <c r="G30" s="6" t="s">
        <v>124</v>
      </c>
      <c r="H30" s="6">
        <v>14</v>
      </c>
      <c r="I30" s="7">
        <v>1100</v>
      </c>
      <c r="J30" s="8">
        <v>0.05</v>
      </c>
      <c r="K30" s="6" t="s">
        <v>28</v>
      </c>
      <c r="L30" s="6" t="s">
        <v>20</v>
      </c>
      <c r="M30" s="6" t="s">
        <v>21</v>
      </c>
      <c r="N30" s="6">
        <f>Table1[[#This Row],[Quantity]]*Table1[[#This Row],[Unit_Price_INR]]</f>
        <v>15400</v>
      </c>
      <c r="O30" s="6">
        <f>Table1[[#This Row],[Gross sales]]*Table1[[#This Row],[Discount_Rate]]</f>
        <v>770</v>
      </c>
      <c r="P30" s="6">
        <f>Table1[[#This Row],[Gross sales]]-Table1[[#This Row],[Discount_Amount]]</f>
        <v>14630</v>
      </c>
      <c r="Q30" s="6" t="str">
        <f>TEXT(Table1[[#This Row],[Date]],"mmmm")</f>
        <v>February</v>
      </c>
      <c r="R30" s="9" t="str">
        <f>IF(OR(Table1[[#This Row],[Status]]="Pending",Table1[[#This Row],[Status]]="Refunded"),"Review","OK")</f>
        <v>OK</v>
      </c>
      <c r="S30" s="6" t="str">
        <f>IF(Table1[[#This Row],[Net_Sales]]&gt;25000,"Hgh",IF(Table1[[#This Row],[Net_Sales]]&gt;10000,"Medium","Low"))</f>
        <v>Medium</v>
      </c>
      <c r="T30" s="6" t="b">
        <f>AND(Table1[[#This Row],[Quantity]]&gt;=5,Table1[[#This Row],[Discount_Rate]]&gt;=10%)</f>
        <v>0</v>
      </c>
      <c r="U30" s="6" t="b">
        <f>OR(Table1[[#This Row],[Payment_Method]]="UPI",Table1[[#This Row],[Payment_Method]]="Cash")</f>
        <v>0</v>
      </c>
      <c r="V30" s="6">
        <f>IFERROR(Table1[[#This Row],[Net_Sales]]/Table1[[#This Row],[Quantity]],"ERROR")</f>
        <v>1045</v>
      </c>
      <c r="W30" s="6" t="str">
        <f>PROPER(TRIM(Table1[[#This Row],[Customer_Name]]))</f>
        <v>Coral Market</v>
      </c>
      <c r="X30" s="6" t="str">
        <f>PROPER(TRIM(Table1[[#This Row],[Region]]))</f>
        <v>North</v>
      </c>
      <c r="Y30" s="6">
        <f>YEAR(Table1[[#This Row],[Date]])</f>
        <v>2026</v>
      </c>
      <c r="Z30" s="6">
        <f>MONTH(Table1[[#This Row],[Date]])</f>
        <v>2</v>
      </c>
      <c r="AA30" s="6" t="str">
        <f>MID(Table1[[#This Row],[Transaction_ID]],4,7)</f>
        <v>1029</v>
      </c>
      <c r="AB30" s="6" t="str">
        <f>_xlfn.CONCAT(Table1[[#This Row],[Region]],"-",Table1[[#This Row],[Category]])</f>
        <v>North-Electronics</v>
      </c>
    </row>
    <row r="31" spans="1:28" ht="15.75" customHeight="1">
      <c r="A31" s="10" t="s">
        <v>125</v>
      </c>
      <c r="B31" s="11">
        <v>46075</v>
      </c>
      <c r="C31" s="12" t="s">
        <v>23</v>
      </c>
      <c r="D31" s="12" t="s">
        <v>39</v>
      </c>
      <c r="E31" s="12" t="s">
        <v>126</v>
      </c>
      <c r="F31" s="12" t="s">
        <v>47</v>
      </c>
      <c r="G31" s="12" t="s">
        <v>127</v>
      </c>
      <c r="H31" s="12">
        <v>5</v>
      </c>
      <c r="I31" s="13">
        <v>2800</v>
      </c>
      <c r="J31" s="14">
        <v>0.12</v>
      </c>
      <c r="K31" s="12" t="s">
        <v>43</v>
      </c>
      <c r="L31" s="12" t="s">
        <v>20</v>
      </c>
      <c r="M31" s="12" t="s">
        <v>29</v>
      </c>
      <c r="N31" s="6">
        <f>Table1[[#This Row],[Quantity]]*Table1[[#This Row],[Unit_Price_INR]]</f>
        <v>14000</v>
      </c>
      <c r="O31" s="6">
        <f>Table1[[#This Row],[Gross sales]]*Table1[[#This Row],[Discount_Rate]]</f>
        <v>1680</v>
      </c>
      <c r="P31" s="6">
        <f>Table1[[#This Row],[Gross sales]]-Table1[[#This Row],[Discount_Amount]]</f>
        <v>12320</v>
      </c>
      <c r="Q31" s="6" t="str">
        <f>TEXT(Table1[[#This Row],[Date]],"mmmm")</f>
        <v>February</v>
      </c>
      <c r="R31" s="9" t="str">
        <f>IF(OR(Table1[[#This Row],[Status]]="Pending",Table1[[#This Row],[Status]]="Refunded"),"Review","OK")</f>
        <v>OK</v>
      </c>
      <c r="S31" s="6" t="str">
        <f>IF(Table1[[#This Row],[Net_Sales]]&gt;25000,"Hgh",IF(Table1[[#This Row],[Net_Sales]]&gt;10000,"Medium","Low"))</f>
        <v>Medium</v>
      </c>
      <c r="T31" s="6" t="b">
        <f>AND(Table1[[#This Row],[Quantity]]&gt;=5,Table1[[#This Row],[Discount_Rate]]&gt;=10%)</f>
        <v>1</v>
      </c>
      <c r="U31" s="6" t="b">
        <f>OR(Table1[[#This Row],[Payment_Method]]="UPI",Table1[[#This Row],[Payment_Method]]="Cash")</f>
        <v>0</v>
      </c>
      <c r="V31" s="6">
        <f>IFERROR(Table1[[#This Row],[Net_Sales]]/Table1[[#This Row],[Quantity]],"ERROR")</f>
        <v>2464</v>
      </c>
      <c r="W31" s="6" t="str">
        <f>PROPER(TRIM(Table1[[#This Row],[Customer_Name]]))</f>
        <v>Dawn Distributors</v>
      </c>
      <c r="X31" s="6" t="str">
        <f>PROPER(TRIM(Table1[[#This Row],[Region]]))</f>
        <v>South</v>
      </c>
      <c r="Y31" s="6">
        <f>YEAR(Table1[[#This Row],[Date]])</f>
        <v>2026</v>
      </c>
      <c r="Z31" s="6">
        <f>MONTH(Table1[[#This Row],[Date]])</f>
        <v>2</v>
      </c>
      <c r="AA31" s="6" t="str">
        <f>MID(Table1[[#This Row],[Transaction_ID]],4,7)</f>
        <v>1030</v>
      </c>
      <c r="AB31" s="6" t="str">
        <f>_xlfn.CONCAT(Table1[[#This Row],[Region]],"-",Table1[[#This Row],[Category]])</f>
        <v>South-Fashion</v>
      </c>
    </row>
    <row r="32" spans="1:28" ht="15.75" customHeight="1">
      <c r="A32" s="4" t="s">
        <v>128</v>
      </c>
      <c r="B32" s="5">
        <v>46082</v>
      </c>
      <c r="C32" s="6" t="s">
        <v>31</v>
      </c>
      <c r="D32" s="6" t="s">
        <v>24</v>
      </c>
      <c r="E32" s="6" t="s">
        <v>129</v>
      </c>
      <c r="F32" s="6" t="s">
        <v>17</v>
      </c>
      <c r="G32" s="6" t="s">
        <v>130</v>
      </c>
      <c r="H32" s="6">
        <v>7</v>
      </c>
      <c r="I32" s="7">
        <v>6400</v>
      </c>
      <c r="J32" s="8">
        <v>0.1</v>
      </c>
      <c r="K32" s="6" t="s">
        <v>28</v>
      </c>
      <c r="L32" s="6" t="s">
        <v>20</v>
      </c>
      <c r="M32" s="6" t="s">
        <v>36</v>
      </c>
      <c r="N32" s="6">
        <f>Table1[[#This Row],[Quantity]]*Table1[[#This Row],[Unit_Price_INR]]</f>
        <v>44800</v>
      </c>
      <c r="O32" s="6">
        <f>Table1[[#This Row],[Gross sales]]*Table1[[#This Row],[Discount_Rate]]</f>
        <v>4480</v>
      </c>
      <c r="P32" s="6">
        <f>Table1[[#This Row],[Gross sales]]-Table1[[#This Row],[Discount_Amount]]</f>
        <v>40320</v>
      </c>
      <c r="Q32" s="6" t="str">
        <f>TEXT(Table1[[#This Row],[Date]],"mmmm")</f>
        <v>March</v>
      </c>
      <c r="R32" s="9" t="str">
        <f>IF(OR(Table1[[#This Row],[Status]]="Pending",Table1[[#This Row],[Status]]="Refunded"),"Review","OK")</f>
        <v>OK</v>
      </c>
      <c r="S32" s="6" t="str">
        <f>IF(Table1[[#This Row],[Net_Sales]]&gt;25000,"Hgh",IF(Table1[[#This Row],[Net_Sales]]&gt;10000,"Medium","Low"))</f>
        <v>Hgh</v>
      </c>
      <c r="T32" s="6" t="b">
        <f>AND(Table1[[#This Row],[Quantity]]&gt;=5,Table1[[#This Row],[Discount_Rate]]&gt;=10%)</f>
        <v>1</v>
      </c>
      <c r="U32" s="6" t="b">
        <f>OR(Table1[[#This Row],[Payment_Method]]="UPI",Table1[[#This Row],[Payment_Method]]="Cash")</f>
        <v>0</v>
      </c>
      <c r="V32" s="6">
        <f>IFERROR(Table1[[#This Row],[Net_Sales]]/Table1[[#This Row],[Quantity]],"ERROR")</f>
        <v>5760</v>
      </c>
      <c r="W32" s="6" t="str">
        <f>PROPER(TRIM(Table1[[#This Row],[Customer_Name]]))</f>
        <v>Elm Retail</v>
      </c>
      <c r="X32" s="6" t="str">
        <f>PROPER(TRIM(Table1[[#This Row],[Region]]))</f>
        <v>West</v>
      </c>
      <c r="Y32" s="6">
        <f>YEAR(Table1[[#This Row],[Date]])</f>
        <v>2026</v>
      </c>
      <c r="Z32" s="6">
        <f>MONTH(Table1[[#This Row],[Date]])</f>
        <v>3</v>
      </c>
      <c r="AA32" s="6" t="str">
        <f>MID(Table1[[#This Row],[Transaction_ID]],4,7)</f>
        <v>1031</v>
      </c>
      <c r="AB32" s="6" t="str">
        <f>_xlfn.CONCAT(Table1[[#This Row],[Region]],"-",Table1[[#This Row],[Category]])</f>
        <v>West-Electronics</v>
      </c>
    </row>
    <row r="33" spans="1:28" ht="15.75" customHeight="1">
      <c r="A33" s="10" t="s">
        <v>131</v>
      </c>
      <c r="B33" s="11">
        <v>46084</v>
      </c>
      <c r="C33" s="12" t="s">
        <v>38</v>
      </c>
      <c r="D33" s="12" t="s">
        <v>15</v>
      </c>
      <c r="E33" s="12" t="s">
        <v>132</v>
      </c>
      <c r="F33" s="12" t="s">
        <v>33</v>
      </c>
      <c r="G33" s="12" t="s">
        <v>133</v>
      </c>
      <c r="H33" s="12">
        <v>16</v>
      </c>
      <c r="I33" s="13">
        <v>540</v>
      </c>
      <c r="J33" s="14">
        <v>0.02</v>
      </c>
      <c r="K33" s="12" t="s">
        <v>19</v>
      </c>
      <c r="L33" s="12" t="s">
        <v>20</v>
      </c>
      <c r="M33" s="12" t="s">
        <v>44</v>
      </c>
      <c r="N33" s="6">
        <f>Table1[[#This Row],[Quantity]]*Table1[[#This Row],[Unit_Price_INR]]</f>
        <v>8640</v>
      </c>
      <c r="O33" s="6">
        <f>Table1[[#This Row],[Gross sales]]*Table1[[#This Row],[Discount_Rate]]</f>
        <v>172.8</v>
      </c>
      <c r="P33" s="6">
        <f>Table1[[#This Row],[Gross sales]]-Table1[[#This Row],[Discount_Amount]]</f>
        <v>8467.2000000000007</v>
      </c>
      <c r="Q33" s="6" t="str">
        <f>TEXT(Table1[[#This Row],[Date]],"mmmm")</f>
        <v>March</v>
      </c>
      <c r="R33" s="9" t="str">
        <f>IF(OR(Table1[[#This Row],[Status]]="Pending",Table1[[#This Row],[Status]]="Refunded"),"Review","OK")</f>
        <v>OK</v>
      </c>
      <c r="S33" s="6" t="str">
        <f>IF(Table1[[#This Row],[Net_Sales]]&gt;25000,"Hgh",IF(Table1[[#This Row],[Net_Sales]]&gt;10000,"Medium","Low"))</f>
        <v>Low</v>
      </c>
      <c r="T33" s="6" t="b">
        <f>AND(Table1[[#This Row],[Quantity]]&gt;=5,Table1[[#This Row],[Discount_Rate]]&gt;=10%)</f>
        <v>0</v>
      </c>
      <c r="U33" s="6" t="b">
        <f>OR(Table1[[#This Row],[Payment_Method]]="UPI",Table1[[#This Row],[Payment_Method]]="Cash")</f>
        <v>1</v>
      </c>
      <c r="V33" s="6">
        <f>IFERROR(Table1[[#This Row],[Net_Sales]]/Table1[[#This Row],[Quantity]],"ERROR")</f>
        <v>529.20000000000005</v>
      </c>
      <c r="W33" s="6" t="str">
        <f>PROPER(TRIM(Table1[[#This Row],[Customer_Name]]))</f>
        <v>Fern Stores</v>
      </c>
      <c r="X33" s="6" t="str">
        <f>PROPER(TRIM(Table1[[#This Row],[Region]]))</f>
        <v>East</v>
      </c>
      <c r="Y33" s="6">
        <f>YEAR(Table1[[#This Row],[Date]])</f>
        <v>2026</v>
      </c>
      <c r="Z33" s="6">
        <f>MONTH(Table1[[#This Row],[Date]])</f>
        <v>3</v>
      </c>
      <c r="AA33" s="6" t="str">
        <f>MID(Table1[[#This Row],[Transaction_ID]],4,7)</f>
        <v>1032</v>
      </c>
      <c r="AB33" s="6" t="str">
        <f>_xlfn.CONCAT(Table1[[#This Row],[Region]],"-",Table1[[#This Row],[Category]])</f>
        <v>East-Grocery</v>
      </c>
    </row>
    <row r="34" spans="1:28" ht="15.75" customHeight="1">
      <c r="A34" s="4" t="s">
        <v>134</v>
      </c>
      <c r="B34" s="5">
        <v>46085</v>
      </c>
      <c r="C34" s="6" t="s">
        <v>14</v>
      </c>
      <c r="D34" s="6" t="s">
        <v>39</v>
      </c>
      <c r="E34" s="6" t="s">
        <v>135</v>
      </c>
      <c r="F34" s="6" t="s">
        <v>26</v>
      </c>
      <c r="G34" s="6" t="s">
        <v>136</v>
      </c>
      <c r="H34" s="6">
        <v>2</v>
      </c>
      <c r="I34" s="7">
        <v>38500</v>
      </c>
      <c r="J34" s="8">
        <v>0.06</v>
      </c>
      <c r="K34" s="6" t="s">
        <v>43</v>
      </c>
      <c r="L34" s="6" t="s">
        <v>20</v>
      </c>
      <c r="M34" s="6" t="s">
        <v>21</v>
      </c>
      <c r="N34" s="6">
        <f>Table1[[#This Row],[Quantity]]*Table1[[#This Row],[Unit_Price_INR]]</f>
        <v>77000</v>
      </c>
      <c r="O34" s="6">
        <f>Table1[[#This Row],[Gross sales]]*Table1[[#This Row],[Discount_Rate]]</f>
        <v>4620</v>
      </c>
      <c r="P34" s="6">
        <f>Table1[[#This Row],[Gross sales]]-Table1[[#This Row],[Discount_Amount]]</f>
        <v>72380</v>
      </c>
      <c r="Q34" s="6" t="str">
        <f>TEXT(Table1[[#This Row],[Date]],"mmmm")</f>
        <v>March</v>
      </c>
      <c r="R34" s="9" t="str">
        <f>IF(OR(Table1[[#This Row],[Status]]="Pending",Table1[[#This Row],[Status]]="Refunded"),"Review","OK")</f>
        <v>OK</v>
      </c>
      <c r="S34" s="6" t="str">
        <f>IF(Table1[[#This Row],[Net_Sales]]&gt;25000,"Hgh",IF(Table1[[#This Row],[Net_Sales]]&gt;10000,"Medium","Low"))</f>
        <v>Hgh</v>
      </c>
      <c r="T34" s="6" t="b">
        <f>AND(Table1[[#This Row],[Quantity]]&gt;=5,Table1[[#This Row],[Discount_Rate]]&gt;=10%)</f>
        <v>0</v>
      </c>
      <c r="U34" s="6" t="b">
        <f>OR(Table1[[#This Row],[Payment_Method]]="UPI",Table1[[#This Row],[Payment_Method]]="Cash")</f>
        <v>0</v>
      </c>
      <c r="V34" s="6">
        <f>IFERROR(Table1[[#This Row],[Net_Sales]]/Table1[[#This Row],[Quantity]],"ERROR")</f>
        <v>36190</v>
      </c>
      <c r="W34" s="6" t="str">
        <f>PROPER(TRIM(Table1[[#This Row],[Customer_Name]]))</f>
        <v>Grove Traders</v>
      </c>
      <c r="X34" s="6" t="str">
        <f>PROPER(TRIM(Table1[[#This Row],[Region]]))</f>
        <v>North</v>
      </c>
      <c r="Y34" s="6">
        <f>YEAR(Table1[[#This Row],[Date]])</f>
        <v>2026</v>
      </c>
      <c r="Z34" s="6">
        <f>MONTH(Table1[[#This Row],[Date]])</f>
        <v>3</v>
      </c>
      <c r="AA34" s="6" t="str">
        <f>MID(Table1[[#This Row],[Transaction_ID]],4,7)</f>
        <v>1033</v>
      </c>
      <c r="AB34" s="6" t="str">
        <f>_xlfn.CONCAT(Table1[[#This Row],[Region]],"-",Table1[[#This Row],[Category]])</f>
        <v>North-Home</v>
      </c>
    </row>
    <row r="35" spans="1:28" ht="15.75" customHeight="1">
      <c r="A35" s="10" t="s">
        <v>137</v>
      </c>
      <c r="B35" s="11">
        <v>46087</v>
      </c>
      <c r="C35" s="12" t="s">
        <v>23</v>
      </c>
      <c r="D35" s="12" t="s">
        <v>24</v>
      </c>
      <c r="E35" s="12" t="s">
        <v>138</v>
      </c>
      <c r="F35" s="12" t="s">
        <v>41</v>
      </c>
      <c r="G35" s="12" t="s">
        <v>139</v>
      </c>
      <c r="H35" s="12">
        <v>10</v>
      </c>
      <c r="I35" s="13">
        <v>1450</v>
      </c>
      <c r="J35" s="14">
        <v>0.05</v>
      </c>
      <c r="K35" s="12" t="s">
        <v>28</v>
      </c>
      <c r="L35" s="12" t="s">
        <v>20</v>
      </c>
      <c r="M35" s="12" t="s">
        <v>52</v>
      </c>
      <c r="N35" s="6">
        <f>Table1[[#This Row],[Quantity]]*Table1[[#This Row],[Unit_Price_INR]]</f>
        <v>14500</v>
      </c>
      <c r="O35" s="6">
        <f>Table1[[#This Row],[Gross sales]]*Table1[[#This Row],[Discount_Rate]]</f>
        <v>725</v>
      </c>
      <c r="P35" s="6">
        <f>Table1[[#This Row],[Gross sales]]-Table1[[#This Row],[Discount_Amount]]</f>
        <v>13775</v>
      </c>
      <c r="Q35" s="6" t="str">
        <f>TEXT(Table1[[#This Row],[Date]],"mmmm")</f>
        <v>March</v>
      </c>
      <c r="R35" s="9" t="str">
        <f>IF(OR(Table1[[#This Row],[Status]]="Pending",Table1[[#This Row],[Status]]="Refunded"),"Review","OK")</f>
        <v>OK</v>
      </c>
      <c r="S35" s="6" t="str">
        <f>IF(Table1[[#This Row],[Net_Sales]]&gt;25000,"Hgh",IF(Table1[[#This Row],[Net_Sales]]&gt;10000,"Medium","Low"))</f>
        <v>Medium</v>
      </c>
      <c r="T35" s="6" t="b">
        <f>AND(Table1[[#This Row],[Quantity]]&gt;=5,Table1[[#This Row],[Discount_Rate]]&gt;=10%)</f>
        <v>0</v>
      </c>
      <c r="U35" s="6" t="b">
        <f>OR(Table1[[#This Row],[Payment_Method]]="UPI",Table1[[#This Row],[Payment_Method]]="Cash")</f>
        <v>0</v>
      </c>
      <c r="V35" s="6">
        <f>IFERROR(Table1[[#This Row],[Net_Sales]]/Table1[[#This Row],[Quantity]],"ERROR")</f>
        <v>1377.5</v>
      </c>
      <c r="W35" s="6" t="str">
        <f>PROPER(TRIM(Table1[[#This Row],[Customer_Name]]))</f>
        <v>Hilltop Shop</v>
      </c>
      <c r="X35" s="6" t="str">
        <f>PROPER(TRIM(Table1[[#This Row],[Region]]))</f>
        <v>South</v>
      </c>
      <c r="Y35" s="6">
        <f>YEAR(Table1[[#This Row],[Date]])</f>
        <v>2026</v>
      </c>
      <c r="Z35" s="6">
        <f>MONTH(Table1[[#This Row],[Date]])</f>
        <v>3</v>
      </c>
      <c r="AA35" s="6" t="str">
        <f>MID(Table1[[#This Row],[Transaction_ID]],4,7)</f>
        <v>1034</v>
      </c>
      <c r="AB35" s="6" t="str">
        <f>_xlfn.CONCAT(Table1[[#This Row],[Region]],"-",Table1[[#This Row],[Category]])</f>
        <v>South-Office</v>
      </c>
    </row>
    <row r="36" spans="1:28" ht="15.75" customHeight="1">
      <c r="A36" s="4" t="s">
        <v>140</v>
      </c>
      <c r="B36" s="5">
        <v>46089</v>
      </c>
      <c r="C36" s="6" t="s">
        <v>31</v>
      </c>
      <c r="D36" s="6" t="s">
        <v>15</v>
      </c>
      <c r="E36" s="6" t="s">
        <v>141</v>
      </c>
      <c r="F36" s="6" t="s">
        <v>47</v>
      </c>
      <c r="G36" s="6" t="s">
        <v>142</v>
      </c>
      <c r="H36" s="6">
        <v>4</v>
      </c>
      <c r="I36" s="7">
        <v>4200</v>
      </c>
      <c r="J36" s="8">
        <v>0.1</v>
      </c>
      <c r="K36" s="6" t="s">
        <v>19</v>
      </c>
      <c r="L36" s="6" t="s">
        <v>56</v>
      </c>
      <c r="M36" s="6" t="s">
        <v>36</v>
      </c>
      <c r="N36" s="6">
        <f>Table1[[#This Row],[Quantity]]*Table1[[#This Row],[Unit_Price_INR]]</f>
        <v>16800</v>
      </c>
      <c r="O36" s="6">
        <f>Table1[[#This Row],[Gross sales]]*Table1[[#This Row],[Discount_Rate]]</f>
        <v>1680</v>
      </c>
      <c r="P36" s="6">
        <f>Table1[[#This Row],[Gross sales]]-Table1[[#This Row],[Discount_Amount]]</f>
        <v>15120</v>
      </c>
      <c r="Q36" s="6" t="str">
        <f>TEXT(Table1[[#This Row],[Date]],"mmmm")</f>
        <v>March</v>
      </c>
      <c r="R36" s="9" t="str">
        <f>IF(OR(Table1[[#This Row],[Status]]="Pending",Table1[[#This Row],[Status]]="Refunded"),"Review","OK")</f>
        <v>Review</v>
      </c>
      <c r="S36" s="6" t="str">
        <f>IF(Table1[[#This Row],[Net_Sales]]&gt;25000,"Hgh",IF(Table1[[#This Row],[Net_Sales]]&gt;10000,"Medium","Low"))</f>
        <v>Medium</v>
      </c>
      <c r="T36" s="6" t="b">
        <f>AND(Table1[[#This Row],[Quantity]]&gt;=5,Table1[[#This Row],[Discount_Rate]]&gt;=10%)</f>
        <v>0</v>
      </c>
      <c r="U36" s="6" t="b">
        <f>OR(Table1[[#This Row],[Payment_Method]]="UPI",Table1[[#This Row],[Payment_Method]]="Cash")</f>
        <v>1</v>
      </c>
      <c r="V36" s="6">
        <f>IFERROR(Table1[[#This Row],[Net_Sales]]/Table1[[#This Row],[Quantity]],"ERROR")</f>
        <v>3780</v>
      </c>
      <c r="W36" s="6" t="str">
        <f>PROPER(TRIM(Table1[[#This Row],[Customer_Name]]))</f>
        <v>Ivory Market</v>
      </c>
      <c r="X36" s="6" t="str">
        <f>PROPER(TRIM(Table1[[#This Row],[Region]]))</f>
        <v>West</v>
      </c>
      <c r="Y36" s="6">
        <f>YEAR(Table1[[#This Row],[Date]])</f>
        <v>2026</v>
      </c>
      <c r="Z36" s="6">
        <f>MONTH(Table1[[#This Row],[Date]])</f>
        <v>3</v>
      </c>
      <c r="AA36" s="6" t="str">
        <f>MID(Table1[[#This Row],[Transaction_ID]],4,7)</f>
        <v>1035</v>
      </c>
      <c r="AB36" s="6" t="str">
        <f>_xlfn.CONCAT(Table1[[#This Row],[Region]],"-",Table1[[#This Row],[Category]])</f>
        <v>West-Fashion</v>
      </c>
    </row>
    <row r="37" spans="1:28" ht="15.75" customHeight="1">
      <c r="A37" s="10" t="s">
        <v>143</v>
      </c>
      <c r="B37" s="11">
        <v>46091</v>
      </c>
      <c r="C37" s="12" t="s">
        <v>38</v>
      </c>
      <c r="D37" s="12" t="s">
        <v>39</v>
      </c>
      <c r="E37" s="12" t="s">
        <v>144</v>
      </c>
      <c r="F37" s="12" t="s">
        <v>17</v>
      </c>
      <c r="G37" s="12" t="s">
        <v>145</v>
      </c>
      <c r="H37" s="12">
        <v>2</v>
      </c>
      <c r="I37" s="13">
        <v>46500</v>
      </c>
      <c r="J37" s="14">
        <v>0.08</v>
      </c>
      <c r="K37" s="12" t="s">
        <v>43</v>
      </c>
      <c r="L37" s="12" t="s">
        <v>20</v>
      </c>
      <c r="M37" s="12" t="s">
        <v>44</v>
      </c>
      <c r="N37" s="6">
        <f>Table1[[#This Row],[Quantity]]*Table1[[#This Row],[Unit_Price_INR]]</f>
        <v>93000</v>
      </c>
      <c r="O37" s="6">
        <f>Table1[[#This Row],[Gross sales]]*Table1[[#This Row],[Discount_Rate]]</f>
        <v>7440</v>
      </c>
      <c r="P37" s="6">
        <f>Table1[[#This Row],[Gross sales]]-Table1[[#This Row],[Discount_Amount]]</f>
        <v>85560</v>
      </c>
      <c r="Q37" s="6" t="str">
        <f>TEXT(Table1[[#This Row],[Date]],"mmmm")</f>
        <v>March</v>
      </c>
      <c r="R37" s="9" t="str">
        <f>IF(OR(Table1[[#This Row],[Status]]="Pending",Table1[[#This Row],[Status]]="Refunded"),"Review","OK")</f>
        <v>OK</v>
      </c>
      <c r="S37" s="6" t="str">
        <f>IF(Table1[[#This Row],[Net_Sales]]&gt;25000,"Hgh",IF(Table1[[#This Row],[Net_Sales]]&gt;10000,"Medium","Low"))</f>
        <v>Hgh</v>
      </c>
      <c r="T37" s="6" t="b">
        <f>AND(Table1[[#This Row],[Quantity]]&gt;=5,Table1[[#This Row],[Discount_Rate]]&gt;=10%)</f>
        <v>0</v>
      </c>
      <c r="U37" s="6" t="b">
        <f>OR(Table1[[#This Row],[Payment_Method]]="UPI",Table1[[#This Row],[Payment_Method]]="Cash")</f>
        <v>0</v>
      </c>
      <c r="V37" s="6">
        <f>IFERROR(Table1[[#This Row],[Net_Sales]]/Table1[[#This Row],[Quantity]],"ERROR")</f>
        <v>42780</v>
      </c>
      <c r="W37" s="6" t="str">
        <f>PROPER(TRIM(Table1[[#This Row],[Customer_Name]]))</f>
        <v>Juniper Distributors</v>
      </c>
      <c r="X37" s="6" t="str">
        <f>PROPER(TRIM(Table1[[#This Row],[Region]]))</f>
        <v>East</v>
      </c>
      <c r="Y37" s="6">
        <f>YEAR(Table1[[#This Row],[Date]])</f>
        <v>2026</v>
      </c>
      <c r="Z37" s="6">
        <f>MONTH(Table1[[#This Row],[Date]])</f>
        <v>3</v>
      </c>
      <c r="AA37" s="6" t="str">
        <f>MID(Table1[[#This Row],[Transaction_ID]],4,7)</f>
        <v>1036</v>
      </c>
      <c r="AB37" s="6" t="str">
        <f>_xlfn.CONCAT(Table1[[#This Row],[Region]],"-",Table1[[#This Row],[Category]])</f>
        <v>East-Electronics</v>
      </c>
    </row>
    <row r="38" spans="1:28" ht="15.75" customHeight="1">
      <c r="A38" s="4" t="s">
        <v>146</v>
      </c>
      <c r="B38" s="5">
        <v>46093</v>
      </c>
      <c r="C38" s="6" t="s">
        <v>14</v>
      </c>
      <c r="D38" s="6" t="s">
        <v>24</v>
      </c>
      <c r="E38" s="6" t="s">
        <v>147</v>
      </c>
      <c r="F38" s="6" t="s">
        <v>33</v>
      </c>
      <c r="G38" s="6" t="s">
        <v>148</v>
      </c>
      <c r="H38" s="6">
        <v>8</v>
      </c>
      <c r="I38" s="7">
        <v>950</v>
      </c>
      <c r="J38" s="8">
        <v>0.05</v>
      </c>
      <c r="K38" s="6" t="s">
        <v>28</v>
      </c>
      <c r="L38" s="6" t="s">
        <v>20</v>
      </c>
      <c r="M38" s="6" t="s">
        <v>21</v>
      </c>
      <c r="N38" s="6">
        <f>Table1[[#This Row],[Quantity]]*Table1[[#This Row],[Unit_Price_INR]]</f>
        <v>7600</v>
      </c>
      <c r="O38" s="6">
        <f>Table1[[#This Row],[Gross sales]]*Table1[[#This Row],[Discount_Rate]]</f>
        <v>380</v>
      </c>
      <c r="P38" s="6">
        <f>Table1[[#This Row],[Gross sales]]-Table1[[#This Row],[Discount_Amount]]</f>
        <v>7220</v>
      </c>
      <c r="Q38" s="6" t="str">
        <f>TEXT(Table1[[#This Row],[Date]],"mmmm")</f>
        <v>March</v>
      </c>
      <c r="R38" s="9" t="str">
        <f>IF(OR(Table1[[#This Row],[Status]]="Pending",Table1[[#This Row],[Status]]="Refunded"),"Review","OK")</f>
        <v>OK</v>
      </c>
      <c r="S38" s="6" t="str">
        <f>IF(Table1[[#This Row],[Net_Sales]]&gt;25000,"Hgh",IF(Table1[[#This Row],[Net_Sales]]&gt;10000,"Medium","Low"))</f>
        <v>Low</v>
      </c>
      <c r="T38" s="6" t="b">
        <f>AND(Table1[[#This Row],[Quantity]]&gt;=5,Table1[[#This Row],[Discount_Rate]]&gt;=10%)</f>
        <v>0</v>
      </c>
      <c r="U38" s="6" t="b">
        <f>OR(Table1[[#This Row],[Payment_Method]]="UPI",Table1[[#This Row],[Payment_Method]]="Cash")</f>
        <v>0</v>
      </c>
      <c r="V38" s="6">
        <f>IFERROR(Table1[[#This Row],[Net_Sales]]/Table1[[#This Row],[Quantity]],"ERROR")</f>
        <v>902.5</v>
      </c>
      <c r="W38" s="6" t="str">
        <f>PROPER(TRIM(Table1[[#This Row],[Customer_Name]]))</f>
        <v>Kite Store</v>
      </c>
      <c r="X38" s="6" t="str">
        <f>PROPER(TRIM(Table1[[#This Row],[Region]]))</f>
        <v>North</v>
      </c>
      <c r="Y38" s="6">
        <f>YEAR(Table1[[#This Row],[Date]])</f>
        <v>2026</v>
      </c>
      <c r="Z38" s="6">
        <f>MONTH(Table1[[#This Row],[Date]])</f>
        <v>3</v>
      </c>
      <c r="AA38" s="6" t="str">
        <f>MID(Table1[[#This Row],[Transaction_ID]],4,7)</f>
        <v>1037</v>
      </c>
      <c r="AB38" s="6" t="str">
        <f>_xlfn.CONCAT(Table1[[#This Row],[Region]],"-",Table1[[#This Row],[Category]])</f>
        <v>North-Grocery</v>
      </c>
    </row>
    <row r="39" spans="1:28" ht="15.75" customHeight="1">
      <c r="A39" s="10" t="s">
        <v>149</v>
      </c>
      <c r="B39" s="11">
        <v>46095</v>
      </c>
      <c r="C39" s="12" t="s">
        <v>23</v>
      </c>
      <c r="D39" s="12" t="s">
        <v>15</v>
      </c>
      <c r="E39" s="12" t="s">
        <v>150</v>
      </c>
      <c r="F39" s="12" t="s">
        <v>26</v>
      </c>
      <c r="G39" s="12" t="s">
        <v>151</v>
      </c>
      <c r="H39" s="12">
        <v>5</v>
      </c>
      <c r="I39" s="13">
        <v>3500</v>
      </c>
      <c r="J39" s="14">
        <v>7.0000000000000007E-2</v>
      </c>
      <c r="K39" s="12" t="s">
        <v>35</v>
      </c>
      <c r="L39" s="12" t="s">
        <v>20</v>
      </c>
      <c r="M39" s="12" t="s">
        <v>52</v>
      </c>
      <c r="N39" s="6">
        <f>Table1[[#This Row],[Quantity]]*Table1[[#This Row],[Unit_Price_INR]]</f>
        <v>17500</v>
      </c>
      <c r="O39" s="6">
        <f>Table1[[#This Row],[Gross sales]]*Table1[[#This Row],[Discount_Rate]]</f>
        <v>1225.0000000000002</v>
      </c>
      <c r="P39" s="6">
        <f>Table1[[#This Row],[Gross sales]]-Table1[[#This Row],[Discount_Amount]]</f>
        <v>16275</v>
      </c>
      <c r="Q39" s="6" t="str">
        <f>TEXT(Table1[[#This Row],[Date]],"mmmm")</f>
        <v>March</v>
      </c>
      <c r="R39" s="9" t="str">
        <f>IF(OR(Table1[[#This Row],[Status]]="Pending",Table1[[#This Row],[Status]]="Refunded"),"Review","OK")</f>
        <v>OK</v>
      </c>
      <c r="S39" s="6" t="str">
        <f>IF(Table1[[#This Row],[Net_Sales]]&gt;25000,"Hgh",IF(Table1[[#This Row],[Net_Sales]]&gt;10000,"Medium","Low"))</f>
        <v>Medium</v>
      </c>
      <c r="T39" s="6" t="b">
        <f>AND(Table1[[#This Row],[Quantity]]&gt;=5,Table1[[#This Row],[Discount_Rate]]&gt;=10%)</f>
        <v>0</v>
      </c>
      <c r="U39" s="6" t="b">
        <f>OR(Table1[[#This Row],[Payment_Method]]="UPI",Table1[[#This Row],[Payment_Method]]="Cash")</f>
        <v>1</v>
      </c>
      <c r="V39" s="6">
        <f>IFERROR(Table1[[#This Row],[Net_Sales]]/Table1[[#This Row],[Quantity]],"ERROR")</f>
        <v>3255</v>
      </c>
      <c r="W39" s="6" t="str">
        <f>PROPER(TRIM(Table1[[#This Row],[Customer_Name]]))</f>
        <v>Lime Bazaar</v>
      </c>
      <c r="X39" s="6" t="str">
        <f>PROPER(TRIM(Table1[[#This Row],[Region]]))</f>
        <v>South</v>
      </c>
      <c r="Y39" s="6">
        <f>YEAR(Table1[[#This Row],[Date]])</f>
        <v>2026</v>
      </c>
      <c r="Z39" s="6">
        <f>MONTH(Table1[[#This Row],[Date]])</f>
        <v>3</v>
      </c>
      <c r="AA39" s="6" t="str">
        <f>MID(Table1[[#This Row],[Transaction_ID]],4,7)</f>
        <v>1038</v>
      </c>
      <c r="AB39" s="6" t="str">
        <f>_xlfn.CONCAT(Table1[[#This Row],[Region]],"-",Table1[[#This Row],[Category]])</f>
        <v>South-Home</v>
      </c>
    </row>
    <row r="40" spans="1:28" ht="15.75" customHeight="1">
      <c r="A40" s="4" t="s">
        <v>152</v>
      </c>
      <c r="B40" s="5">
        <v>46098</v>
      </c>
      <c r="C40" s="6" t="s">
        <v>31</v>
      </c>
      <c r="D40" s="6" t="s">
        <v>39</v>
      </c>
      <c r="E40" s="6" t="s">
        <v>153</v>
      </c>
      <c r="F40" s="6" t="s">
        <v>41</v>
      </c>
      <c r="G40" s="6" t="s">
        <v>154</v>
      </c>
      <c r="H40" s="6">
        <v>3</v>
      </c>
      <c r="I40" s="7">
        <v>11200</v>
      </c>
      <c r="J40" s="8">
        <v>0.04</v>
      </c>
      <c r="K40" s="6" t="s">
        <v>43</v>
      </c>
      <c r="L40" s="6" t="s">
        <v>20</v>
      </c>
      <c r="M40" s="6" t="s">
        <v>36</v>
      </c>
      <c r="N40" s="6">
        <f>Table1[[#This Row],[Quantity]]*Table1[[#This Row],[Unit_Price_INR]]</f>
        <v>33600</v>
      </c>
      <c r="O40" s="6">
        <f>Table1[[#This Row],[Gross sales]]*Table1[[#This Row],[Discount_Rate]]</f>
        <v>1344</v>
      </c>
      <c r="P40" s="6">
        <f>Table1[[#This Row],[Gross sales]]-Table1[[#This Row],[Discount_Amount]]</f>
        <v>32256</v>
      </c>
      <c r="Q40" s="6" t="str">
        <f>TEXT(Table1[[#This Row],[Date]],"mmmm")</f>
        <v>March</v>
      </c>
      <c r="R40" s="9" t="str">
        <f>IF(OR(Table1[[#This Row],[Status]]="Pending",Table1[[#This Row],[Status]]="Refunded"),"Review","OK")</f>
        <v>OK</v>
      </c>
      <c r="S40" s="6" t="str">
        <f>IF(Table1[[#This Row],[Net_Sales]]&gt;25000,"Hgh",IF(Table1[[#This Row],[Net_Sales]]&gt;10000,"Medium","Low"))</f>
        <v>Hgh</v>
      </c>
      <c r="T40" s="6" t="b">
        <f>AND(Table1[[#This Row],[Quantity]]&gt;=5,Table1[[#This Row],[Discount_Rate]]&gt;=10%)</f>
        <v>0</v>
      </c>
      <c r="U40" s="6" t="b">
        <f>OR(Table1[[#This Row],[Payment_Method]]="UPI",Table1[[#This Row],[Payment_Method]]="Cash")</f>
        <v>0</v>
      </c>
      <c r="V40" s="6">
        <f>IFERROR(Table1[[#This Row],[Net_Sales]]/Table1[[#This Row],[Quantity]],"ERROR")</f>
        <v>10752</v>
      </c>
      <c r="W40" s="6" t="str">
        <f>PROPER(TRIM(Table1[[#This Row],[Customer_Name]]))</f>
        <v>Maple Traders</v>
      </c>
      <c r="X40" s="6" t="str">
        <f>PROPER(TRIM(Table1[[#This Row],[Region]]))</f>
        <v>West</v>
      </c>
      <c r="Y40" s="6">
        <f>YEAR(Table1[[#This Row],[Date]])</f>
        <v>2026</v>
      </c>
      <c r="Z40" s="6">
        <f>MONTH(Table1[[#This Row],[Date]])</f>
        <v>3</v>
      </c>
      <c r="AA40" s="6" t="str">
        <f>MID(Table1[[#This Row],[Transaction_ID]],4,7)</f>
        <v>1039</v>
      </c>
      <c r="AB40" s="6" t="str">
        <f>_xlfn.CONCAT(Table1[[#This Row],[Region]],"-",Table1[[#This Row],[Category]])</f>
        <v>West-Office</v>
      </c>
    </row>
    <row r="41" spans="1:28" ht="15.75" customHeight="1">
      <c r="A41" s="10" t="s">
        <v>155</v>
      </c>
      <c r="B41" s="11">
        <v>46100</v>
      </c>
      <c r="C41" s="12" t="s">
        <v>38</v>
      </c>
      <c r="D41" s="12" t="s">
        <v>24</v>
      </c>
      <c r="E41" s="12" t="s">
        <v>156</v>
      </c>
      <c r="F41" s="12" t="s">
        <v>47</v>
      </c>
      <c r="G41" s="12" t="s">
        <v>157</v>
      </c>
      <c r="H41" s="12">
        <v>6</v>
      </c>
      <c r="I41" s="13">
        <v>5600</v>
      </c>
      <c r="J41" s="14">
        <v>0.15</v>
      </c>
      <c r="K41" s="12" t="s">
        <v>28</v>
      </c>
      <c r="L41" s="12" t="s">
        <v>66</v>
      </c>
      <c r="M41" s="12" t="s">
        <v>44</v>
      </c>
      <c r="N41" s="6">
        <f>Table1[[#This Row],[Quantity]]*Table1[[#This Row],[Unit_Price_INR]]</f>
        <v>33600</v>
      </c>
      <c r="O41" s="6">
        <f>Table1[[#This Row],[Gross sales]]*Table1[[#This Row],[Discount_Rate]]</f>
        <v>5040</v>
      </c>
      <c r="P41" s="6">
        <f>Table1[[#This Row],[Gross sales]]-Table1[[#This Row],[Discount_Amount]]</f>
        <v>28560</v>
      </c>
      <c r="Q41" s="6" t="str">
        <f>TEXT(Table1[[#This Row],[Date]],"mmmm")</f>
        <v>March</v>
      </c>
      <c r="R41" s="9" t="str">
        <f>IF(OR(Table1[[#This Row],[Status]]="Pending",Table1[[#This Row],[Status]]="Refunded"),"Review","OK")</f>
        <v>Review</v>
      </c>
      <c r="S41" s="6" t="str">
        <f>IF(Table1[[#This Row],[Net_Sales]]&gt;25000,"Hgh",IF(Table1[[#This Row],[Net_Sales]]&gt;10000,"Medium","Low"))</f>
        <v>Hgh</v>
      </c>
      <c r="T41" s="6" t="b">
        <f>AND(Table1[[#This Row],[Quantity]]&gt;=5,Table1[[#This Row],[Discount_Rate]]&gt;=10%)</f>
        <v>1</v>
      </c>
      <c r="U41" s="6" t="b">
        <f>OR(Table1[[#This Row],[Payment_Method]]="UPI",Table1[[#This Row],[Payment_Method]]="Cash")</f>
        <v>0</v>
      </c>
      <c r="V41" s="6">
        <f>IFERROR(Table1[[#This Row],[Net_Sales]]/Table1[[#This Row],[Quantity]],"ERROR")</f>
        <v>4760</v>
      </c>
      <c r="W41" s="6" t="str">
        <f>PROPER(TRIM(Table1[[#This Row],[Customer_Name]]))</f>
        <v>Noble Retail</v>
      </c>
      <c r="X41" s="6" t="str">
        <f>PROPER(TRIM(Table1[[#This Row],[Region]]))</f>
        <v>East</v>
      </c>
      <c r="Y41" s="6">
        <f>YEAR(Table1[[#This Row],[Date]])</f>
        <v>2026</v>
      </c>
      <c r="Z41" s="6">
        <f>MONTH(Table1[[#This Row],[Date]])</f>
        <v>3</v>
      </c>
      <c r="AA41" s="6" t="str">
        <f>MID(Table1[[#This Row],[Transaction_ID]],4,7)</f>
        <v>1040</v>
      </c>
      <c r="AB41" s="6" t="str">
        <f>_xlfn.CONCAT(Table1[[#This Row],[Region]],"-",Table1[[#This Row],[Category]])</f>
        <v>East-Fashion</v>
      </c>
    </row>
    <row r="42" spans="1:28" ht="15.75" customHeight="1">
      <c r="A42" s="4" t="s">
        <v>158</v>
      </c>
      <c r="B42" s="5">
        <v>46102</v>
      </c>
      <c r="C42" s="6" t="s">
        <v>14</v>
      </c>
      <c r="D42" s="6" t="s">
        <v>15</v>
      </c>
      <c r="E42" s="6" t="s">
        <v>159</v>
      </c>
      <c r="F42" s="6" t="s">
        <v>17</v>
      </c>
      <c r="G42" s="6" t="s">
        <v>160</v>
      </c>
      <c r="H42" s="6">
        <v>9</v>
      </c>
      <c r="I42" s="7">
        <v>4200</v>
      </c>
      <c r="J42" s="8">
        <v>0.05</v>
      </c>
      <c r="K42" s="6" t="s">
        <v>19</v>
      </c>
      <c r="L42" s="6" t="s">
        <v>20</v>
      </c>
      <c r="M42" s="6" t="s">
        <v>21</v>
      </c>
      <c r="N42" s="6">
        <f>Table1[[#This Row],[Quantity]]*Table1[[#This Row],[Unit_Price_INR]]</f>
        <v>37800</v>
      </c>
      <c r="O42" s="6">
        <f>Table1[[#This Row],[Gross sales]]*Table1[[#This Row],[Discount_Rate]]</f>
        <v>1890</v>
      </c>
      <c r="P42" s="6">
        <f>Table1[[#This Row],[Gross sales]]-Table1[[#This Row],[Discount_Amount]]</f>
        <v>35910</v>
      </c>
      <c r="Q42" s="6" t="str">
        <f>TEXT(Table1[[#This Row],[Date]],"mmmm")</f>
        <v>March</v>
      </c>
      <c r="R42" s="9" t="str">
        <f>IF(OR(Table1[[#This Row],[Status]]="Pending",Table1[[#This Row],[Status]]="Refunded"),"Review","OK")</f>
        <v>OK</v>
      </c>
      <c r="S42" s="6" t="str">
        <f>IF(Table1[[#This Row],[Net_Sales]]&gt;25000,"Hgh",IF(Table1[[#This Row],[Net_Sales]]&gt;10000,"Medium","Low"))</f>
        <v>Hgh</v>
      </c>
      <c r="T42" s="6" t="b">
        <f>AND(Table1[[#This Row],[Quantity]]&gt;=5,Table1[[#This Row],[Discount_Rate]]&gt;=10%)</f>
        <v>0</v>
      </c>
      <c r="U42" s="6" t="b">
        <f>OR(Table1[[#This Row],[Payment_Method]]="UPI",Table1[[#This Row],[Payment_Method]]="Cash")</f>
        <v>1</v>
      </c>
      <c r="V42" s="6">
        <f>IFERROR(Table1[[#This Row],[Net_Sales]]/Table1[[#This Row],[Quantity]],"ERROR")</f>
        <v>3990</v>
      </c>
      <c r="W42" s="6" t="str">
        <f>PROPER(TRIM(Table1[[#This Row],[Customer_Name]]))</f>
        <v>Olive Shop</v>
      </c>
      <c r="X42" s="6" t="str">
        <f>PROPER(TRIM(Table1[[#This Row],[Region]]))</f>
        <v>North</v>
      </c>
      <c r="Y42" s="6">
        <f>YEAR(Table1[[#This Row],[Date]])</f>
        <v>2026</v>
      </c>
      <c r="Z42" s="6">
        <f>MONTH(Table1[[#This Row],[Date]])</f>
        <v>3</v>
      </c>
      <c r="AA42" s="6" t="str">
        <f>MID(Table1[[#This Row],[Transaction_ID]],4,7)</f>
        <v>1041</v>
      </c>
      <c r="AB42" s="6" t="str">
        <f>_xlfn.CONCAT(Table1[[#This Row],[Region]],"-",Table1[[#This Row],[Category]])</f>
        <v>North-Electronics</v>
      </c>
    </row>
    <row r="43" spans="1:28" ht="15.75" customHeight="1">
      <c r="A43" s="10" t="s">
        <v>161</v>
      </c>
      <c r="B43" s="11">
        <v>46104</v>
      </c>
      <c r="C43" s="12" t="s">
        <v>23</v>
      </c>
      <c r="D43" s="12" t="s">
        <v>39</v>
      </c>
      <c r="E43" s="12" t="s">
        <v>162</v>
      </c>
      <c r="F43" s="12" t="s">
        <v>33</v>
      </c>
      <c r="G43" s="12" t="s">
        <v>163</v>
      </c>
      <c r="H43" s="12">
        <v>22</v>
      </c>
      <c r="I43" s="13">
        <v>260</v>
      </c>
      <c r="J43" s="14">
        <v>0</v>
      </c>
      <c r="K43" s="12" t="s">
        <v>43</v>
      </c>
      <c r="L43" s="12" t="s">
        <v>20</v>
      </c>
      <c r="M43" s="12" t="s">
        <v>29</v>
      </c>
      <c r="N43" s="6">
        <f>Table1[[#This Row],[Quantity]]*Table1[[#This Row],[Unit_Price_INR]]</f>
        <v>5720</v>
      </c>
      <c r="O43" s="6">
        <f>Table1[[#This Row],[Gross sales]]*Table1[[#This Row],[Discount_Rate]]</f>
        <v>0</v>
      </c>
      <c r="P43" s="6">
        <f>Table1[[#This Row],[Gross sales]]-Table1[[#This Row],[Discount_Amount]]</f>
        <v>5720</v>
      </c>
      <c r="Q43" s="6" t="str">
        <f>TEXT(Table1[[#This Row],[Date]],"mmmm")</f>
        <v>March</v>
      </c>
      <c r="R43" s="9" t="str">
        <f>IF(OR(Table1[[#This Row],[Status]]="Pending",Table1[[#This Row],[Status]]="Refunded"),"Review","OK")</f>
        <v>OK</v>
      </c>
      <c r="S43" s="6" t="str">
        <f>IF(Table1[[#This Row],[Net_Sales]]&gt;25000,"Hgh",IF(Table1[[#This Row],[Net_Sales]]&gt;10000,"Medium","Low"))</f>
        <v>Low</v>
      </c>
      <c r="T43" s="6" t="b">
        <f>AND(Table1[[#This Row],[Quantity]]&gt;=5,Table1[[#This Row],[Discount_Rate]]&gt;=10%)</f>
        <v>0</v>
      </c>
      <c r="U43" s="6" t="b">
        <f>OR(Table1[[#This Row],[Payment_Method]]="UPI",Table1[[#This Row],[Payment_Method]]="Cash")</f>
        <v>0</v>
      </c>
      <c r="V43" s="6">
        <f>IFERROR(Table1[[#This Row],[Net_Sales]]/Table1[[#This Row],[Quantity]],"ERROR")</f>
        <v>260</v>
      </c>
      <c r="W43" s="6" t="str">
        <f>PROPER(TRIM(Table1[[#This Row],[Customer_Name]]))</f>
        <v>Pioneer Distributors</v>
      </c>
      <c r="X43" s="6" t="str">
        <f>PROPER(TRIM(Table1[[#This Row],[Region]]))</f>
        <v>South</v>
      </c>
      <c r="Y43" s="6">
        <f>YEAR(Table1[[#This Row],[Date]])</f>
        <v>2026</v>
      </c>
      <c r="Z43" s="6">
        <f>MONTH(Table1[[#This Row],[Date]])</f>
        <v>3</v>
      </c>
      <c r="AA43" s="6" t="str">
        <f>MID(Table1[[#This Row],[Transaction_ID]],4,7)</f>
        <v>1042</v>
      </c>
      <c r="AB43" s="6" t="str">
        <f>_xlfn.CONCAT(Table1[[#This Row],[Region]],"-",Table1[[#This Row],[Category]])</f>
        <v>South-Grocery</v>
      </c>
    </row>
    <row r="44" spans="1:28" ht="15.75" customHeight="1">
      <c r="A44" s="4" t="s">
        <v>164</v>
      </c>
      <c r="B44" s="5">
        <v>46106</v>
      </c>
      <c r="C44" s="6" t="s">
        <v>31</v>
      </c>
      <c r="D44" s="6" t="s">
        <v>24</v>
      </c>
      <c r="E44" s="6" t="s">
        <v>165</v>
      </c>
      <c r="F44" s="6" t="s">
        <v>26</v>
      </c>
      <c r="G44" s="6" t="s">
        <v>166</v>
      </c>
      <c r="H44" s="6">
        <v>3</v>
      </c>
      <c r="I44" s="7">
        <v>7800</v>
      </c>
      <c r="J44" s="8">
        <v>0.1</v>
      </c>
      <c r="K44" s="6" t="s">
        <v>28</v>
      </c>
      <c r="L44" s="6" t="s">
        <v>20</v>
      </c>
      <c r="M44" s="6" t="s">
        <v>36</v>
      </c>
      <c r="N44" s="6">
        <f>Table1[[#This Row],[Quantity]]*Table1[[#This Row],[Unit_Price_INR]]</f>
        <v>23400</v>
      </c>
      <c r="O44" s="6">
        <f>Table1[[#This Row],[Gross sales]]*Table1[[#This Row],[Discount_Rate]]</f>
        <v>2340</v>
      </c>
      <c r="P44" s="6">
        <f>Table1[[#This Row],[Gross sales]]-Table1[[#This Row],[Discount_Amount]]</f>
        <v>21060</v>
      </c>
      <c r="Q44" s="6" t="str">
        <f>TEXT(Table1[[#This Row],[Date]],"mmmm")</f>
        <v>March</v>
      </c>
      <c r="R44" s="9" t="str">
        <f>IF(OR(Table1[[#This Row],[Status]]="Pending",Table1[[#This Row],[Status]]="Refunded"),"Review","OK")</f>
        <v>OK</v>
      </c>
      <c r="S44" s="6" t="str">
        <f>IF(Table1[[#This Row],[Net_Sales]]&gt;25000,"Hgh",IF(Table1[[#This Row],[Net_Sales]]&gt;10000,"Medium","Low"))</f>
        <v>Medium</v>
      </c>
      <c r="T44" s="6" t="b">
        <f>AND(Table1[[#This Row],[Quantity]]&gt;=5,Table1[[#This Row],[Discount_Rate]]&gt;=10%)</f>
        <v>0</v>
      </c>
      <c r="U44" s="6" t="b">
        <f>OR(Table1[[#This Row],[Payment_Method]]="UPI",Table1[[#This Row],[Payment_Method]]="Cash")</f>
        <v>0</v>
      </c>
      <c r="V44" s="6">
        <f>IFERROR(Table1[[#This Row],[Net_Sales]]/Table1[[#This Row],[Quantity]],"ERROR")</f>
        <v>7020</v>
      </c>
      <c r="W44" s="6" t="str">
        <f>PROPER(TRIM(Table1[[#This Row],[Customer_Name]]))</f>
        <v>Quartz Mart</v>
      </c>
      <c r="X44" s="6" t="str">
        <f>PROPER(TRIM(Table1[[#This Row],[Region]]))</f>
        <v>West</v>
      </c>
      <c r="Y44" s="6">
        <f>YEAR(Table1[[#This Row],[Date]])</f>
        <v>2026</v>
      </c>
      <c r="Z44" s="6">
        <f>MONTH(Table1[[#This Row],[Date]])</f>
        <v>3</v>
      </c>
      <c r="AA44" s="6" t="str">
        <f>MID(Table1[[#This Row],[Transaction_ID]],4,7)</f>
        <v>1043</v>
      </c>
      <c r="AB44" s="6" t="str">
        <f>_xlfn.CONCAT(Table1[[#This Row],[Region]],"-",Table1[[#This Row],[Category]])</f>
        <v>West-Home</v>
      </c>
    </row>
    <row r="45" spans="1:28" ht="15.75" customHeight="1">
      <c r="A45" s="10" t="s">
        <v>167</v>
      </c>
      <c r="B45" s="11">
        <v>46108</v>
      </c>
      <c r="C45" s="12" t="s">
        <v>38</v>
      </c>
      <c r="D45" s="12" t="s">
        <v>15</v>
      </c>
      <c r="E45" s="12" t="s">
        <v>168</v>
      </c>
      <c r="F45" s="12" t="s">
        <v>41</v>
      </c>
      <c r="G45" s="12" t="s">
        <v>169</v>
      </c>
      <c r="H45" s="12">
        <v>20</v>
      </c>
      <c r="I45" s="13">
        <v>125</v>
      </c>
      <c r="J45" s="14">
        <v>0</v>
      </c>
      <c r="K45" s="12" t="s">
        <v>35</v>
      </c>
      <c r="L45" s="12" t="s">
        <v>20</v>
      </c>
      <c r="M45" s="12" t="s">
        <v>44</v>
      </c>
      <c r="N45" s="6">
        <f>Table1[[#This Row],[Quantity]]*Table1[[#This Row],[Unit_Price_INR]]</f>
        <v>2500</v>
      </c>
      <c r="O45" s="6">
        <f>Table1[[#This Row],[Gross sales]]*Table1[[#This Row],[Discount_Rate]]</f>
        <v>0</v>
      </c>
      <c r="P45" s="6">
        <f>Table1[[#This Row],[Gross sales]]-Table1[[#This Row],[Discount_Amount]]</f>
        <v>2500</v>
      </c>
      <c r="Q45" s="6" t="str">
        <f>TEXT(Table1[[#This Row],[Date]],"mmmm")</f>
        <v>March</v>
      </c>
      <c r="R45" s="9" t="str">
        <f>IF(OR(Table1[[#This Row],[Status]]="Pending",Table1[[#This Row],[Status]]="Refunded"),"Review","OK")</f>
        <v>OK</v>
      </c>
      <c r="S45" s="6" t="str">
        <f>IF(Table1[[#This Row],[Net_Sales]]&gt;25000,"Hgh",IF(Table1[[#This Row],[Net_Sales]]&gt;10000,"Medium","Low"))</f>
        <v>Low</v>
      </c>
      <c r="T45" s="6" t="b">
        <f>AND(Table1[[#This Row],[Quantity]]&gt;=5,Table1[[#This Row],[Discount_Rate]]&gt;=10%)</f>
        <v>0</v>
      </c>
      <c r="U45" s="6" t="b">
        <f>OR(Table1[[#This Row],[Payment_Method]]="UPI",Table1[[#This Row],[Payment_Method]]="Cash")</f>
        <v>1</v>
      </c>
      <c r="V45" s="6">
        <f>IFERROR(Table1[[#This Row],[Net_Sales]]/Table1[[#This Row],[Quantity]],"ERROR")</f>
        <v>125</v>
      </c>
      <c r="W45" s="6" t="str">
        <f>PROPER(TRIM(Table1[[#This Row],[Customer_Name]]))</f>
        <v>River Store</v>
      </c>
      <c r="X45" s="6" t="str">
        <f>PROPER(TRIM(Table1[[#This Row],[Region]]))</f>
        <v>East</v>
      </c>
      <c r="Y45" s="6">
        <f>YEAR(Table1[[#This Row],[Date]])</f>
        <v>2026</v>
      </c>
      <c r="Z45" s="6">
        <f>MONTH(Table1[[#This Row],[Date]])</f>
        <v>3</v>
      </c>
      <c r="AA45" s="6" t="str">
        <f>MID(Table1[[#This Row],[Transaction_ID]],4,7)</f>
        <v>1044</v>
      </c>
      <c r="AB45" s="6" t="str">
        <f>_xlfn.CONCAT(Table1[[#This Row],[Region]],"-",Table1[[#This Row],[Category]])</f>
        <v>East-Office</v>
      </c>
    </row>
    <row r="46" spans="1:28" ht="15.75" customHeight="1">
      <c r="A46" s="4" t="s">
        <v>170</v>
      </c>
      <c r="B46" s="5">
        <v>46110</v>
      </c>
      <c r="C46" s="6" t="s">
        <v>14</v>
      </c>
      <c r="D46" s="6" t="s">
        <v>39</v>
      </c>
      <c r="E46" s="6" t="s">
        <v>171</v>
      </c>
      <c r="F46" s="6" t="s">
        <v>17</v>
      </c>
      <c r="G46" s="6" t="s">
        <v>172</v>
      </c>
      <c r="H46" s="6">
        <v>2</v>
      </c>
      <c r="I46" s="7">
        <v>42000</v>
      </c>
      <c r="J46" s="8">
        <v>7.0000000000000007E-2</v>
      </c>
      <c r="K46" s="6" t="s">
        <v>43</v>
      </c>
      <c r="L46" s="6" t="s">
        <v>20</v>
      </c>
      <c r="M46" s="6" t="s">
        <v>21</v>
      </c>
      <c r="N46" s="6">
        <f>Table1[[#This Row],[Quantity]]*Table1[[#This Row],[Unit_Price_INR]]</f>
        <v>84000</v>
      </c>
      <c r="O46" s="6">
        <f>Table1[[#This Row],[Gross sales]]*Table1[[#This Row],[Discount_Rate]]</f>
        <v>5880.0000000000009</v>
      </c>
      <c r="P46" s="6">
        <f>Table1[[#This Row],[Gross sales]]-Table1[[#This Row],[Discount_Amount]]</f>
        <v>78120</v>
      </c>
      <c r="Q46" s="6" t="str">
        <f>TEXT(Table1[[#This Row],[Date]],"mmmm")</f>
        <v>March</v>
      </c>
      <c r="R46" s="9" t="str">
        <f>IF(OR(Table1[[#This Row],[Status]]="Pending",Table1[[#This Row],[Status]]="Refunded"),"Review","OK")</f>
        <v>OK</v>
      </c>
      <c r="S46" s="6" t="str">
        <f>IF(Table1[[#This Row],[Net_Sales]]&gt;25000,"Hgh",IF(Table1[[#This Row],[Net_Sales]]&gt;10000,"Medium","Low"))</f>
        <v>Hgh</v>
      </c>
      <c r="T46" s="6" t="b">
        <f>AND(Table1[[#This Row],[Quantity]]&gt;=5,Table1[[#This Row],[Discount_Rate]]&gt;=10%)</f>
        <v>0</v>
      </c>
      <c r="U46" s="6" t="b">
        <f>OR(Table1[[#This Row],[Payment_Method]]="UPI",Table1[[#This Row],[Payment_Method]]="Cash")</f>
        <v>0</v>
      </c>
      <c r="V46" s="6">
        <f>IFERROR(Table1[[#This Row],[Net_Sales]]/Table1[[#This Row],[Quantity]],"ERROR")</f>
        <v>39060</v>
      </c>
      <c r="W46" s="6" t="str">
        <f>PROPER(TRIM(Table1[[#This Row],[Customer_Name]]))</f>
        <v>Silverline Traders</v>
      </c>
      <c r="X46" s="6" t="str">
        <f>PROPER(TRIM(Table1[[#This Row],[Region]]))</f>
        <v>North</v>
      </c>
      <c r="Y46" s="6">
        <f>YEAR(Table1[[#This Row],[Date]])</f>
        <v>2026</v>
      </c>
      <c r="Z46" s="6">
        <f>MONTH(Table1[[#This Row],[Date]])</f>
        <v>3</v>
      </c>
      <c r="AA46" s="6" t="str">
        <f>MID(Table1[[#This Row],[Transaction_ID]],4,7)</f>
        <v>1045</v>
      </c>
      <c r="AB46" s="6" t="str">
        <f>_xlfn.CONCAT(Table1[[#This Row],[Region]],"-",Table1[[#This Row],[Category]])</f>
        <v>North-Electronics</v>
      </c>
    </row>
    <row r="47" spans="1:28" ht="15.75" customHeight="1">
      <c r="A47" s="10" t="s">
        <v>173</v>
      </c>
      <c r="B47" s="11">
        <v>46114</v>
      </c>
      <c r="C47" s="12" t="s">
        <v>23</v>
      </c>
      <c r="D47" s="12" t="s">
        <v>24</v>
      </c>
      <c r="E47" s="12" t="s">
        <v>174</v>
      </c>
      <c r="F47" s="12" t="s">
        <v>47</v>
      </c>
      <c r="G47" s="12" t="s">
        <v>175</v>
      </c>
      <c r="H47" s="12">
        <v>11</v>
      </c>
      <c r="I47" s="13">
        <v>1350</v>
      </c>
      <c r="J47" s="14">
        <v>0.1</v>
      </c>
      <c r="K47" s="12" t="s">
        <v>19</v>
      </c>
      <c r="L47" s="12" t="s">
        <v>20</v>
      </c>
      <c r="M47" s="12" t="s">
        <v>52</v>
      </c>
      <c r="N47" s="6">
        <f>Table1[[#This Row],[Quantity]]*Table1[[#This Row],[Unit_Price_INR]]</f>
        <v>14850</v>
      </c>
      <c r="O47" s="6">
        <f>Table1[[#This Row],[Gross sales]]*Table1[[#This Row],[Discount_Rate]]</f>
        <v>1485</v>
      </c>
      <c r="P47" s="6">
        <f>Table1[[#This Row],[Gross sales]]-Table1[[#This Row],[Discount_Amount]]</f>
        <v>13365</v>
      </c>
      <c r="Q47" s="6" t="str">
        <f>TEXT(Table1[[#This Row],[Date]],"mmmm")</f>
        <v>April</v>
      </c>
      <c r="R47" s="9" t="str">
        <f>IF(OR(Table1[[#This Row],[Status]]="Pending",Table1[[#This Row],[Status]]="Refunded"),"Review","OK")</f>
        <v>OK</v>
      </c>
      <c r="S47" s="6" t="str">
        <f>IF(Table1[[#This Row],[Net_Sales]]&gt;25000,"Hgh",IF(Table1[[#This Row],[Net_Sales]]&gt;10000,"Medium","Low"))</f>
        <v>Medium</v>
      </c>
      <c r="T47" s="6" t="b">
        <f>AND(Table1[[#This Row],[Quantity]]&gt;=5,Table1[[#This Row],[Discount_Rate]]&gt;=10%)</f>
        <v>1</v>
      </c>
      <c r="U47" s="6" t="b">
        <f>OR(Table1[[#This Row],[Payment_Method]]="UPI",Table1[[#This Row],[Payment_Method]]="Cash")</f>
        <v>1</v>
      </c>
      <c r="V47" s="6">
        <f>IFERROR(Table1[[#This Row],[Net_Sales]]/Table1[[#This Row],[Quantity]],"ERROR")</f>
        <v>1215</v>
      </c>
      <c r="W47" s="6" t="str">
        <f>PROPER(TRIM(Table1[[#This Row],[Customer_Name]]))</f>
        <v>Topaz Shop</v>
      </c>
      <c r="X47" s="6" t="str">
        <f>PROPER(TRIM(Table1[[#This Row],[Region]]))</f>
        <v>South</v>
      </c>
      <c r="Y47" s="6">
        <f>YEAR(Table1[[#This Row],[Date]])</f>
        <v>2026</v>
      </c>
      <c r="Z47" s="6">
        <f>MONTH(Table1[[#This Row],[Date]])</f>
        <v>4</v>
      </c>
      <c r="AA47" s="6" t="str">
        <f>MID(Table1[[#This Row],[Transaction_ID]],4,7)</f>
        <v>1046</v>
      </c>
      <c r="AB47" s="6" t="str">
        <f>_xlfn.CONCAT(Table1[[#This Row],[Region]],"-",Table1[[#This Row],[Category]])</f>
        <v>South-Fashion</v>
      </c>
    </row>
    <row r="48" spans="1:28" ht="15.75" customHeight="1">
      <c r="A48" s="4" t="s">
        <v>176</v>
      </c>
      <c r="B48" s="5">
        <v>46116</v>
      </c>
      <c r="C48" s="6" t="s">
        <v>31</v>
      </c>
      <c r="D48" s="6" t="s">
        <v>15</v>
      </c>
      <c r="E48" s="6" t="s">
        <v>177</v>
      </c>
      <c r="F48" s="6" t="s">
        <v>33</v>
      </c>
      <c r="G48" s="6" t="s">
        <v>178</v>
      </c>
      <c r="H48" s="6">
        <v>14</v>
      </c>
      <c r="I48" s="7">
        <v>390</v>
      </c>
      <c r="J48" s="8">
        <v>0.03</v>
      </c>
      <c r="K48" s="6" t="s">
        <v>28</v>
      </c>
      <c r="L48" s="6" t="s">
        <v>20</v>
      </c>
      <c r="M48" s="6" t="s">
        <v>36</v>
      </c>
      <c r="N48" s="6">
        <f>Table1[[#This Row],[Quantity]]*Table1[[#This Row],[Unit_Price_INR]]</f>
        <v>5460</v>
      </c>
      <c r="O48" s="6">
        <f>Table1[[#This Row],[Gross sales]]*Table1[[#This Row],[Discount_Rate]]</f>
        <v>163.79999999999998</v>
      </c>
      <c r="P48" s="6">
        <f>Table1[[#This Row],[Gross sales]]-Table1[[#This Row],[Discount_Amount]]</f>
        <v>5296.2</v>
      </c>
      <c r="Q48" s="6" t="str">
        <f>TEXT(Table1[[#This Row],[Date]],"mmmm")</f>
        <v>April</v>
      </c>
      <c r="R48" s="9" t="str">
        <f>IF(OR(Table1[[#This Row],[Status]]="Pending",Table1[[#This Row],[Status]]="Refunded"),"Review","OK")</f>
        <v>OK</v>
      </c>
      <c r="S48" s="6" t="str">
        <f>IF(Table1[[#This Row],[Net_Sales]]&gt;25000,"Hgh",IF(Table1[[#This Row],[Net_Sales]]&gt;10000,"Medium","Low"))</f>
        <v>Low</v>
      </c>
      <c r="T48" s="6" t="b">
        <f>AND(Table1[[#This Row],[Quantity]]&gt;=5,Table1[[#This Row],[Discount_Rate]]&gt;=10%)</f>
        <v>0</v>
      </c>
      <c r="U48" s="6" t="b">
        <f>OR(Table1[[#This Row],[Payment_Method]]="UPI",Table1[[#This Row],[Payment_Method]]="Cash")</f>
        <v>0</v>
      </c>
      <c r="V48" s="6">
        <f>IFERROR(Table1[[#This Row],[Net_Sales]]/Table1[[#This Row],[Quantity]],"ERROR")</f>
        <v>378.3</v>
      </c>
      <c r="W48" s="6" t="str">
        <f>PROPER(TRIM(Table1[[#This Row],[Customer_Name]]))</f>
        <v>Uptown Market</v>
      </c>
      <c r="X48" s="6" t="str">
        <f>PROPER(TRIM(Table1[[#This Row],[Region]]))</f>
        <v>West</v>
      </c>
      <c r="Y48" s="6">
        <f>YEAR(Table1[[#This Row],[Date]])</f>
        <v>2026</v>
      </c>
      <c r="Z48" s="6">
        <f>MONTH(Table1[[#This Row],[Date]])</f>
        <v>4</v>
      </c>
      <c r="AA48" s="6" t="str">
        <f>MID(Table1[[#This Row],[Transaction_ID]],4,7)</f>
        <v>1047</v>
      </c>
      <c r="AB48" s="6" t="str">
        <f>_xlfn.CONCAT(Table1[[#This Row],[Region]],"-",Table1[[#This Row],[Category]])</f>
        <v>West-Grocery</v>
      </c>
    </row>
    <row r="49" spans="1:28" ht="15.75" customHeight="1">
      <c r="A49" s="10" t="s">
        <v>179</v>
      </c>
      <c r="B49" s="11">
        <v>46118</v>
      </c>
      <c r="C49" s="12" t="s">
        <v>38</v>
      </c>
      <c r="D49" s="12" t="s">
        <v>39</v>
      </c>
      <c r="E49" s="12" t="s">
        <v>180</v>
      </c>
      <c r="F49" s="12" t="s">
        <v>26</v>
      </c>
      <c r="G49" s="12" t="s">
        <v>181</v>
      </c>
      <c r="H49" s="12">
        <v>2</v>
      </c>
      <c r="I49" s="13">
        <v>31500</v>
      </c>
      <c r="J49" s="14">
        <v>0.08</v>
      </c>
      <c r="K49" s="12" t="s">
        <v>43</v>
      </c>
      <c r="L49" s="12" t="s">
        <v>20</v>
      </c>
      <c r="M49" s="12" t="s">
        <v>44</v>
      </c>
      <c r="N49" s="6">
        <f>Table1[[#This Row],[Quantity]]*Table1[[#This Row],[Unit_Price_INR]]</f>
        <v>63000</v>
      </c>
      <c r="O49" s="6">
        <f>Table1[[#This Row],[Gross sales]]*Table1[[#This Row],[Discount_Rate]]</f>
        <v>5040</v>
      </c>
      <c r="P49" s="6">
        <f>Table1[[#This Row],[Gross sales]]-Table1[[#This Row],[Discount_Amount]]</f>
        <v>57960</v>
      </c>
      <c r="Q49" s="6" t="str">
        <f>TEXT(Table1[[#This Row],[Date]],"mmmm")</f>
        <v>April</v>
      </c>
      <c r="R49" s="9" t="str">
        <f>IF(OR(Table1[[#This Row],[Status]]="Pending",Table1[[#This Row],[Status]]="Refunded"),"Review","OK")</f>
        <v>OK</v>
      </c>
      <c r="S49" s="6" t="str">
        <f>IF(Table1[[#This Row],[Net_Sales]]&gt;25000,"Hgh",IF(Table1[[#This Row],[Net_Sales]]&gt;10000,"Medium","Low"))</f>
        <v>Hgh</v>
      </c>
      <c r="T49" s="6" t="b">
        <f>AND(Table1[[#This Row],[Quantity]]&gt;=5,Table1[[#This Row],[Discount_Rate]]&gt;=10%)</f>
        <v>0</v>
      </c>
      <c r="U49" s="6" t="b">
        <f>OR(Table1[[#This Row],[Payment_Method]]="UPI",Table1[[#This Row],[Payment_Method]]="Cash")</f>
        <v>0</v>
      </c>
      <c r="V49" s="6">
        <f>IFERROR(Table1[[#This Row],[Net_Sales]]/Table1[[#This Row],[Quantity]],"ERROR")</f>
        <v>28980</v>
      </c>
      <c r="W49" s="6" t="str">
        <f>PROPER(TRIM(Table1[[#This Row],[Customer_Name]]))</f>
        <v>Vista Traders</v>
      </c>
      <c r="X49" s="6" t="str">
        <f>PROPER(TRIM(Table1[[#This Row],[Region]]))</f>
        <v>East</v>
      </c>
      <c r="Y49" s="6">
        <f>YEAR(Table1[[#This Row],[Date]])</f>
        <v>2026</v>
      </c>
      <c r="Z49" s="6">
        <f>MONTH(Table1[[#This Row],[Date]])</f>
        <v>4</v>
      </c>
      <c r="AA49" s="6" t="str">
        <f>MID(Table1[[#This Row],[Transaction_ID]],4,7)</f>
        <v>1048</v>
      </c>
      <c r="AB49" s="6" t="str">
        <f>_xlfn.CONCAT(Table1[[#This Row],[Region]],"-",Table1[[#This Row],[Category]])</f>
        <v>East-Home</v>
      </c>
    </row>
    <row r="50" spans="1:28" ht="15.75" customHeight="1">
      <c r="A50" s="4" t="s">
        <v>182</v>
      </c>
      <c r="B50" s="5">
        <v>46120</v>
      </c>
      <c r="C50" s="6" t="s">
        <v>14</v>
      </c>
      <c r="D50" s="6" t="s">
        <v>24</v>
      </c>
      <c r="E50" s="6" t="s">
        <v>183</v>
      </c>
      <c r="F50" s="6" t="s">
        <v>17</v>
      </c>
      <c r="G50" s="6" t="s">
        <v>184</v>
      </c>
      <c r="H50" s="6">
        <v>8</v>
      </c>
      <c r="I50" s="7">
        <v>2600</v>
      </c>
      <c r="J50" s="8">
        <v>0.12</v>
      </c>
      <c r="K50" s="6" t="s">
        <v>28</v>
      </c>
      <c r="L50" s="6" t="s">
        <v>20</v>
      </c>
      <c r="M50" s="6" t="s">
        <v>21</v>
      </c>
      <c r="N50" s="6">
        <f>Table1[[#This Row],[Quantity]]*Table1[[#This Row],[Unit_Price_INR]]</f>
        <v>20800</v>
      </c>
      <c r="O50" s="6">
        <f>Table1[[#This Row],[Gross sales]]*Table1[[#This Row],[Discount_Rate]]</f>
        <v>2496</v>
      </c>
      <c r="P50" s="6">
        <f>Table1[[#This Row],[Gross sales]]-Table1[[#This Row],[Discount_Amount]]</f>
        <v>18304</v>
      </c>
      <c r="Q50" s="6" t="str">
        <f>TEXT(Table1[[#This Row],[Date]],"mmmm")</f>
        <v>April</v>
      </c>
      <c r="R50" s="9" t="str">
        <f>IF(OR(Table1[[#This Row],[Status]]="Pending",Table1[[#This Row],[Status]]="Refunded"),"Review","OK")</f>
        <v>OK</v>
      </c>
      <c r="S50" s="6" t="str">
        <f>IF(Table1[[#This Row],[Net_Sales]]&gt;25000,"Hgh",IF(Table1[[#This Row],[Net_Sales]]&gt;10000,"Medium","Low"))</f>
        <v>Medium</v>
      </c>
      <c r="T50" s="6" t="b">
        <f>AND(Table1[[#This Row],[Quantity]]&gt;=5,Table1[[#This Row],[Discount_Rate]]&gt;=10%)</f>
        <v>1</v>
      </c>
      <c r="U50" s="6" t="b">
        <f>OR(Table1[[#This Row],[Payment_Method]]="UPI",Table1[[#This Row],[Payment_Method]]="Cash")</f>
        <v>0</v>
      </c>
      <c r="V50" s="6">
        <f>IFERROR(Table1[[#This Row],[Net_Sales]]/Table1[[#This Row],[Quantity]],"ERROR")</f>
        <v>2288</v>
      </c>
      <c r="W50" s="6" t="str">
        <f>PROPER(TRIM(Table1[[#This Row],[Customer_Name]]))</f>
        <v>Wave Retail</v>
      </c>
      <c r="X50" s="6" t="str">
        <f>PROPER(TRIM(Table1[[#This Row],[Region]]))</f>
        <v>North</v>
      </c>
      <c r="Y50" s="6">
        <f>YEAR(Table1[[#This Row],[Date]])</f>
        <v>2026</v>
      </c>
      <c r="Z50" s="6">
        <f>MONTH(Table1[[#This Row],[Date]])</f>
        <v>4</v>
      </c>
      <c r="AA50" s="6" t="str">
        <f>MID(Table1[[#This Row],[Transaction_ID]],4,7)</f>
        <v>1049</v>
      </c>
      <c r="AB50" s="6" t="str">
        <f>_xlfn.CONCAT(Table1[[#This Row],[Region]],"-",Table1[[#This Row],[Category]])</f>
        <v>North-Electronics</v>
      </c>
    </row>
    <row r="51" spans="1:28" ht="15.75" customHeight="1">
      <c r="A51" s="10" t="s">
        <v>185</v>
      </c>
      <c r="B51" s="11">
        <v>46122</v>
      </c>
      <c r="C51" s="12" t="s">
        <v>23</v>
      </c>
      <c r="D51" s="12" t="s">
        <v>15</v>
      </c>
      <c r="E51" s="12" t="s">
        <v>186</v>
      </c>
      <c r="F51" s="12" t="s">
        <v>41</v>
      </c>
      <c r="G51" s="12" t="s">
        <v>187</v>
      </c>
      <c r="H51" s="12">
        <v>30</v>
      </c>
      <c r="I51" s="13">
        <v>220</v>
      </c>
      <c r="J51" s="14">
        <v>0</v>
      </c>
      <c r="K51" s="12" t="s">
        <v>35</v>
      </c>
      <c r="L51" s="12" t="s">
        <v>20</v>
      </c>
      <c r="M51" s="12" t="s">
        <v>52</v>
      </c>
      <c r="N51" s="6">
        <f>Table1[[#This Row],[Quantity]]*Table1[[#This Row],[Unit_Price_INR]]</f>
        <v>6600</v>
      </c>
      <c r="O51" s="6">
        <f>Table1[[#This Row],[Gross sales]]*Table1[[#This Row],[Discount_Rate]]</f>
        <v>0</v>
      </c>
      <c r="P51" s="6">
        <f>Table1[[#This Row],[Gross sales]]-Table1[[#This Row],[Discount_Amount]]</f>
        <v>6600</v>
      </c>
      <c r="Q51" s="6" t="str">
        <f>TEXT(Table1[[#This Row],[Date]],"mmmm")</f>
        <v>April</v>
      </c>
      <c r="R51" s="9" t="str">
        <f>IF(OR(Table1[[#This Row],[Status]]="Pending",Table1[[#This Row],[Status]]="Refunded"),"Review","OK")</f>
        <v>OK</v>
      </c>
      <c r="S51" s="6" t="str">
        <f>IF(Table1[[#This Row],[Net_Sales]]&gt;25000,"Hgh",IF(Table1[[#This Row],[Net_Sales]]&gt;10000,"Medium","Low"))</f>
        <v>Low</v>
      </c>
      <c r="T51" s="6" t="b">
        <f>AND(Table1[[#This Row],[Quantity]]&gt;=5,Table1[[#This Row],[Discount_Rate]]&gt;=10%)</f>
        <v>0</v>
      </c>
      <c r="U51" s="6" t="b">
        <f>OR(Table1[[#This Row],[Payment_Method]]="UPI",Table1[[#This Row],[Payment_Method]]="Cash")</f>
        <v>1</v>
      </c>
      <c r="V51" s="6">
        <f>IFERROR(Table1[[#This Row],[Net_Sales]]/Table1[[#This Row],[Quantity]],"ERROR")</f>
        <v>220</v>
      </c>
      <c r="W51" s="6" t="str">
        <f>PROPER(TRIM(Table1[[#This Row],[Customer_Name]]))</f>
        <v>Xenia Stores</v>
      </c>
      <c r="X51" s="6" t="str">
        <f>PROPER(TRIM(Table1[[#This Row],[Region]]))</f>
        <v>South</v>
      </c>
      <c r="Y51" s="6">
        <f>YEAR(Table1[[#This Row],[Date]])</f>
        <v>2026</v>
      </c>
      <c r="Z51" s="6">
        <f>MONTH(Table1[[#This Row],[Date]])</f>
        <v>4</v>
      </c>
      <c r="AA51" s="6" t="str">
        <f>MID(Table1[[#This Row],[Transaction_ID]],4,7)</f>
        <v>1050</v>
      </c>
      <c r="AB51" s="6" t="str">
        <f>_xlfn.CONCAT(Table1[[#This Row],[Region]],"-",Table1[[#This Row],[Category]])</f>
        <v>South-Office</v>
      </c>
    </row>
    <row r="52" spans="1:28" ht="15.75" customHeight="1">
      <c r="A52" s="4" t="s">
        <v>188</v>
      </c>
      <c r="B52" s="5">
        <v>46124</v>
      </c>
      <c r="C52" s="6" t="s">
        <v>31</v>
      </c>
      <c r="D52" s="6" t="s">
        <v>39</v>
      </c>
      <c r="E52" s="6" t="s">
        <v>189</v>
      </c>
      <c r="F52" s="6" t="s">
        <v>47</v>
      </c>
      <c r="G52" s="6" t="s">
        <v>190</v>
      </c>
      <c r="H52" s="6">
        <v>4</v>
      </c>
      <c r="I52" s="7">
        <v>3600</v>
      </c>
      <c r="J52" s="8">
        <v>0.05</v>
      </c>
      <c r="K52" s="6" t="s">
        <v>43</v>
      </c>
      <c r="L52" s="6" t="s">
        <v>20</v>
      </c>
      <c r="M52" s="6" t="s">
        <v>36</v>
      </c>
      <c r="N52" s="6">
        <f>Table1[[#This Row],[Quantity]]*Table1[[#This Row],[Unit_Price_INR]]</f>
        <v>14400</v>
      </c>
      <c r="O52" s="6">
        <f>Table1[[#This Row],[Gross sales]]*Table1[[#This Row],[Discount_Rate]]</f>
        <v>720</v>
      </c>
      <c r="P52" s="6">
        <f>Table1[[#This Row],[Gross sales]]-Table1[[#This Row],[Discount_Amount]]</f>
        <v>13680</v>
      </c>
      <c r="Q52" s="6" t="str">
        <f>TEXT(Table1[[#This Row],[Date]],"mmmm")</f>
        <v>April</v>
      </c>
      <c r="R52" s="9" t="str">
        <f>IF(OR(Table1[[#This Row],[Status]]="Pending",Table1[[#This Row],[Status]]="Refunded"),"Review","OK")</f>
        <v>OK</v>
      </c>
      <c r="S52" s="6" t="str">
        <f>IF(Table1[[#This Row],[Net_Sales]]&gt;25000,"Hgh",IF(Table1[[#This Row],[Net_Sales]]&gt;10000,"Medium","Low"))</f>
        <v>Medium</v>
      </c>
      <c r="T52" s="6" t="b">
        <f>AND(Table1[[#This Row],[Quantity]]&gt;=5,Table1[[#This Row],[Discount_Rate]]&gt;=10%)</f>
        <v>0</v>
      </c>
      <c r="U52" s="6" t="b">
        <f>OR(Table1[[#This Row],[Payment_Method]]="UPI",Table1[[#This Row],[Payment_Method]]="Cash")</f>
        <v>0</v>
      </c>
      <c r="V52" s="6">
        <f>IFERROR(Table1[[#This Row],[Net_Sales]]/Table1[[#This Row],[Quantity]],"ERROR")</f>
        <v>3420</v>
      </c>
      <c r="W52" s="6" t="str">
        <f>PROPER(TRIM(Table1[[#This Row],[Customer_Name]]))</f>
        <v>Yonder Distributors</v>
      </c>
      <c r="X52" s="6" t="str">
        <f>PROPER(TRIM(Table1[[#This Row],[Region]]))</f>
        <v>West</v>
      </c>
      <c r="Y52" s="6">
        <f>YEAR(Table1[[#This Row],[Date]])</f>
        <v>2026</v>
      </c>
      <c r="Z52" s="6">
        <f>MONTH(Table1[[#This Row],[Date]])</f>
        <v>4</v>
      </c>
      <c r="AA52" s="6" t="str">
        <f>MID(Table1[[#This Row],[Transaction_ID]],4,7)</f>
        <v>1051</v>
      </c>
      <c r="AB52" s="6" t="str">
        <f>_xlfn.CONCAT(Table1[[#This Row],[Region]],"-",Table1[[#This Row],[Category]])</f>
        <v>West-Fashion</v>
      </c>
    </row>
    <row r="53" spans="1:28" ht="15.75" customHeight="1">
      <c r="A53" s="10" t="s">
        <v>191</v>
      </c>
      <c r="B53" s="11">
        <v>46126</v>
      </c>
      <c r="C53" s="12" t="s">
        <v>38</v>
      </c>
      <c r="D53" s="12" t="s">
        <v>24</v>
      </c>
      <c r="E53" s="12" t="s">
        <v>192</v>
      </c>
      <c r="F53" s="12" t="s">
        <v>33</v>
      </c>
      <c r="G53" s="12" t="s">
        <v>193</v>
      </c>
      <c r="H53" s="12">
        <v>12</v>
      </c>
      <c r="I53" s="13">
        <v>440</v>
      </c>
      <c r="J53" s="14">
        <v>0.04</v>
      </c>
      <c r="K53" s="12" t="s">
        <v>19</v>
      </c>
      <c r="L53" s="12" t="s">
        <v>20</v>
      </c>
      <c r="M53" s="12" t="s">
        <v>44</v>
      </c>
      <c r="N53" s="6">
        <f>Table1[[#This Row],[Quantity]]*Table1[[#This Row],[Unit_Price_INR]]</f>
        <v>5280</v>
      </c>
      <c r="O53" s="6">
        <f>Table1[[#This Row],[Gross sales]]*Table1[[#This Row],[Discount_Rate]]</f>
        <v>211.20000000000002</v>
      </c>
      <c r="P53" s="6">
        <f>Table1[[#This Row],[Gross sales]]-Table1[[#This Row],[Discount_Amount]]</f>
        <v>5068.8</v>
      </c>
      <c r="Q53" s="6" t="str">
        <f>TEXT(Table1[[#This Row],[Date]],"mmmm")</f>
        <v>April</v>
      </c>
      <c r="R53" s="9" t="str">
        <f>IF(OR(Table1[[#This Row],[Status]]="Pending",Table1[[#This Row],[Status]]="Refunded"),"Review","OK")</f>
        <v>OK</v>
      </c>
      <c r="S53" s="6" t="str">
        <f>IF(Table1[[#This Row],[Net_Sales]]&gt;25000,"Hgh",IF(Table1[[#This Row],[Net_Sales]]&gt;10000,"Medium","Low"))</f>
        <v>Low</v>
      </c>
      <c r="T53" s="6" t="b">
        <f>AND(Table1[[#This Row],[Quantity]]&gt;=5,Table1[[#This Row],[Discount_Rate]]&gt;=10%)</f>
        <v>0</v>
      </c>
      <c r="U53" s="6" t="b">
        <f>OR(Table1[[#This Row],[Payment_Method]]="UPI",Table1[[#This Row],[Payment_Method]]="Cash")</f>
        <v>1</v>
      </c>
      <c r="V53" s="6">
        <f>IFERROR(Table1[[#This Row],[Net_Sales]]/Table1[[#This Row],[Quantity]],"ERROR")</f>
        <v>422.40000000000003</v>
      </c>
      <c r="W53" s="6" t="str">
        <f>PROPER(TRIM(Table1[[#This Row],[Customer_Name]]))</f>
        <v>Zest Shop</v>
      </c>
      <c r="X53" s="6" t="str">
        <f>PROPER(TRIM(Table1[[#This Row],[Region]]))</f>
        <v>East</v>
      </c>
      <c r="Y53" s="6">
        <f>YEAR(Table1[[#This Row],[Date]])</f>
        <v>2026</v>
      </c>
      <c r="Z53" s="6">
        <f>MONTH(Table1[[#This Row],[Date]])</f>
        <v>4</v>
      </c>
      <c r="AA53" s="6" t="str">
        <f>MID(Table1[[#This Row],[Transaction_ID]],4,7)</f>
        <v>1052</v>
      </c>
      <c r="AB53" s="6" t="str">
        <f>_xlfn.CONCAT(Table1[[#This Row],[Region]],"-",Table1[[#This Row],[Category]])</f>
        <v>East-Grocery</v>
      </c>
    </row>
    <row r="54" spans="1:28" ht="15.75" customHeight="1">
      <c r="A54" s="4" t="s">
        <v>194</v>
      </c>
      <c r="B54" s="5">
        <v>46128</v>
      </c>
      <c r="C54" s="6" t="s">
        <v>14</v>
      </c>
      <c r="D54" s="6" t="s">
        <v>15</v>
      </c>
      <c r="E54" s="6" t="s">
        <v>195</v>
      </c>
      <c r="F54" s="6" t="s">
        <v>26</v>
      </c>
      <c r="G54" s="6" t="s">
        <v>196</v>
      </c>
      <c r="H54" s="6">
        <v>4</v>
      </c>
      <c r="I54" s="7">
        <v>3900</v>
      </c>
      <c r="J54" s="8">
        <v>0.08</v>
      </c>
      <c r="K54" s="6" t="s">
        <v>28</v>
      </c>
      <c r="L54" s="6" t="s">
        <v>20</v>
      </c>
      <c r="M54" s="6" t="s">
        <v>21</v>
      </c>
      <c r="N54" s="6">
        <f>Table1[[#This Row],[Quantity]]*Table1[[#This Row],[Unit_Price_INR]]</f>
        <v>15600</v>
      </c>
      <c r="O54" s="6">
        <f>Table1[[#This Row],[Gross sales]]*Table1[[#This Row],[Discount_Rate]]</f>
        <v>1248</v>
      </c>
      <c r="P54" s="6">
        <f>Table1[[#This Row],[Gross sales]]-Table1[[#This Row],[Discount_Amount]]</f>
        <v>14352</v>
      </c>
      <c r="Q54" s="6" t="str">
        <f>TEXT(Table1[[#This Row],[Date]],"mmmm")</f>
        <v>April</v>
      </c>
      <c r="R54" s="9" t="str">
        <f>IF(OR(Table1[[#This Row],[Status]]="Pending",Table1[[#This Row],[Status]]="Refunded"),"Review","OK")</f>
        <v>OK</v>
      </c>
      <c r="S54" s="6" t="str">
        <f>IF(Table1[[#This Row],[Net_Sales]]&gt;25000,"Hgh",IF(Table1[[#This Row],[Net_Sales]]&gt;10000,"Medium","Low"))</f>
        <v>Medium</v>
      </c>
      <c r="T54" s="6" t="b">
        <f>AND(Table1[[#This Row],[Quantity]]&gt;=5,Table1[[#This Row],[Discount_Rate]]&gt;=10%)</f>
        <v>0</v>
      </c>
      <c r="U54" s="6" t="b">
        <f>OR(Table1[[#This Row],[Payment_Method]]="UPI",Table1[[#This Row],[Payment_Method]]="Cash")</f>
        <v>0</v>
      </c>
      <c r="V54" s="6">
        <f>IFERROR(Table1[[#This Row],[Net_Sales]]/Table1[[#This Row],[Quantity]],"ERROR")</f>
        <v>3588</v>
      </c>
      <c r="W54" s="6" t="str">
        <f>PROPER(TRIM(Table1[[#This Row],[Customer_Name]]))</f>
        <v>Amber Mart</v>
      </c>
      <c r="X54" s="6" t="str">
        <f>PROPER(TRIM(Table1[[#This Row],[Region]]))</f>
        <v>North</v>
      </c>
      <c r="Y54" s="6">
        <f>YEAR(Table1[[#This Row],[Date]])</f>
        <v>2026</v>
      </c>
      <c r="Z54" s="6">
        <f>MONTH(Table1[[#This Row],[Date]])</f>
        <v>4</v>
      </c>
      <c r="AA54" s="6" t="str">
        <f>MID(Table1[[#This Row],[Transaction_ID]],4,7)</f>
        <v>1053</v>
      </c>
      <c r="AB54" s="6" t="str">
        <f>_xlfn.CONCAT(Table1[[#This Row],[Region]],"-",Table1[[#This Row],[Category]])</f>
        <v>North-Home</v>
      </c>
    </row>
    <row r="55" spans="1:28" ht="15.75" customHeight="1">
      <c r="A55" s="10" t="s">
        <v>197</v>
      </c>
      <c r="B55" s="11">
        <v>46130</v>
      </c>
      <c r="C55" s="12" t="s">
        <v>23</v>
      </c>
      <c r="D55" s="12" t="s">
        <v>39</v>
      </c>
      <c r="E55" s="12" t="s">
        <v>198</v>
      </c>
      <c r="F55" s="12" t="s">
        <v>17</v>
      </c>
      <c r="G55" s="12" t="s">
        <v>199</v>
      </c>
      <c r="H55" s="12">
        <v>10</v>
      </c>
      <c r="I55" s="13">
        <v>2400</v>
      </c>
      <c r="J55" s="14">
        <v>0.06</v>
      </c>
      <c r="K55" s="12" t="s">
        <v>43</v>
      </c>
      <c r="L55" s="12" t="s">
        <v>56</v>
      </c>
      <c r="M55" s="12" t="s">
        <v>29</v>
      </c>
      <c r="N55" s="6">
        <f>Table1[[#This Row],[Quantity]]*Table1[[#This Row],[Unit_Price_INR]]</f>
        <v>24000</v>
      </c>
      <c r="O55" s="6">
        <f>Table1[[#This Row],[Gross sales]]*Table1[[#This Row],[Discount_Rate]]</f>
        <v>1440</v>
      </c>
      <c r="P55" s="6">
        <f>Table1[[#This Row],[Gross sales]]-Table1[[#This Row],[Discount_Amount]]</f>
        <v>22560</v>
      </c>
      <c r="Q55" s="6" t="str">
        <f>TEXT(Table1[[#This Row],[Date]],"mmmm")</f>
        <v>April</v>
      </c>
      <c r="R55" s="9" t="str">
        <f>IF(OR(Table1[[#This Row],[Status]]="Pending",Table1[[#This Row],[Status]]="Refunded"),"Review","OK")</f>
        <v>Review</v>
      </c>
      <c r="S55" s="6" t="str">
        <f>IF(Table1[[#This Row],[Net_Sales]]&gt;25000,"Hgh",IF(Table1[[#This Row],[Net_Sales]]&gt;10000,"Medium","Low"))</f>
        <v>Medium</v>
      </c>
      <c r="T55" s="6" t="b">
        <f>AND(Table1[[#This Row],[Quantity]]&gt;=5,Table1[[#This Row],[Discount_Rate]]&gt;=10%)</f>
        <v>0</v>
      </c>
      <c r="U55" s="6" t="b">
        <f>OR(Table1[[#This Row],[Payment_Method]]="UPI",Table1[[#This Row],[Payment_Method]]="Cash")</f>
        <v>0</v>
      </c>
      <c r="V55" s="6">
        <f>IFERROR(Table1[[#This Row],[Net_Sales]]/Table1[[#This Row],[Quantity]],"ERROR")</f>
        <v>2256</v>
      </c>
      <c r="W55" s="6" t="str">
        <f>PROPER(TRIM(Table1[[#This Row],[Customer_Name]]))</f>
        <v>Beacon Traders</v>
      </c>
      <c r="X55" s="6" t="str">
        <f>PROPER(TRIM(Table1[[#This Row],[Region]]))</f>
        <v>South</v>
      </c>
      <c r="Y55" s="6">
        <f>YEAR(Table1[[#This Row],[Date]])</f>
        <v>2026</v>
      </c>
      <c r="Z55" s="6">
        <f>MONTH(Table1[[#This Row],[Date]])</f>
        <v>4</v>
      </c>
      <c r="AA55" s="6" t="str">
        <f>MID(Table1[[#This Row],[Transaction_ID]],4,7)</f>
        <v>1054</v>
      </c>
      <c r="AB55" s="6" t="str">
        <f>_xlfn.CONCAT(Table1[[#This Row],[Region]],"-",Table1[[#This Row],[Category]])</f>
        <v>South-Electronics</v>
      </c>
    </row>
    <row r="56" spans="1:28" ht="15.75" customHeight="1">
      <c r="A56" s="4" t="s">
        <v>200</v>
      </c>
      <c r="B56" s="5">
        <v>46132</v>
      </c>
      <c r="C56" s="6" t="s">
        <v>31</v>
      </c>
      <c r="D56" s="6" t="s">
        <v>24</v>
      </c>
      <c r="E56" s="6" t="s">
        <v>201</v>
      </c>
      <c r="F56" s="6" t="s">
        <v>41</v>
      </c>
      <c r="G56" s="6" t="s">
        <v>202</v>
      </c>
      <c r="H56" s="6">
        <v>7</v>
      </c>
      <c r="I56" s="7">
        <v>1850</v>
      </c>
      <c r="J56" s="8">
        <v>0.05</v>
      </c>
      <c r="K56" s="6" t="s">
        <v>28</v>
      </c>
      <c r="L56" s="6" t="s">
        <v>20</v>
      </c>
      <c r="M56" s="6" t="s">
        <v>36</v>
      </c>
      <c r="N56" s="6">
        <f>Table1[[#This Row],[Quantity]]*Table1[[#This Row],[Unit_Price_INR]]</f>
        <v>12950</v>
      </c>
      <c r="O56" s="6">
        <f>Table1[[#This Row],[Gross sales]]*Table1[[#This Row],[Discount_Rate]]</f>
        <v>647.5</v>
      </c>
      <c r="P56" s="6">
        <f>Table1[[#This Row],[Gross sales]]-Table1[[#This Row],[Discount_Amount]]</f>
        <v>12302.5</v>
      </c>
      <c r="Q56" s="6" t="str">
        <f>TEXT(Table1[[#This Row],[Date]],"mmmm")</f>
        <v>April</v>
      </c>
      <c r="R56" s="9" t="str">
        <f>IF(OR(Table1[[#This Row],[Status]]="Pending",Table1[[#This Row],[Status]]="Refunded"),"Review","OK")</f>
        <v>OK</v>
      </c>
      <c r="S56" s="6" t="str">
        <f>IF(Table1[[#This Row],[Net_Sales]]&gt;25000,"Hgh",IF(Table1[[#This Row],[Net_Sales]]&gt;10000,"Medium","Low"))</f>
        <v>Medium</v>
      </c>
      <c r="T56" s="6" t="b">
        <f>AND(Table1[[#This Row],[Quantity]]&gt;=5,Table1[[#This Row],[Discount_Rate]]&gt;=10%)</f>
        <v>0</v>
      </c>
      <c r="U56" s="6" t="b">
        <f>OR(Table1[[#This Row],[Payment_Method]]="UPI",Table1[[#This Row],[Payment_Method]]="Cash")</f>
        <v>0</v>
      </c>
      <c r="V56" s="6">
        <f>IFERROR(Table1[[#This Row],[Net_Sales]]/Table1[[#This Row],[Quantity]],"ERROR")</f>
        <v>1757.5</v>
      </c>
      <c r="W56" s="6" t="str">
        <f>PROPER(TRIM(Table1[[#This Row],[Customer_Name]]))</f>
        <v>Cedar Store</v>
      </c>
      <c r="X56" s="6" t="str">
        <f>PROPER(TRIM(Table1[[#This Row],[Region]]))</f>
        <v>West</v>
      </c>
      <c r="Y56" s="6">
        <f>YEAR(Table1[[#This Row],[Date]])</f>
        <v>2026</v>
      </c>
      <c r="Z56" s="6">
        <f>MONTH(Table1[[#This Row],[Date]])</f>
        <v>4</v>
      </c>
      <c r="AA56" s="6" t="str">
        <f>MID(Table1[[#This Row],[Transaction_ID]],4,7)</f>
        <v>1055</v>
      </c>
      <c r="AB56" s="6" t="str">
        <f>_xlfn.CONCAT(Table1[[#This Row],[Region]],"-",Table1[[#This Row],[Category]])</f>
        <v>West-Office</v>
      </c>
    </row>
    <row r="57" spans="1:28" ht="15.75" customHeight="1">
      <c r="A57" s="10" t="s">
        <v>203</v>
      </c>
      <c r="B57" s="11">
        <v>46134</v>
      </c>
      <c r="C57" s="12" t="s">
        <v>38</v>
      </c>
      <c r="D57" s="12" t="s">
        <v>15</v>
      </c>
      <c r="E57" s="12" t="s">
        <v>204</v>
      </c>
      <c r="F57" s="12" t="s">
        <v>47</v>
      </c>
      <c r="G57" s="12" t="s">
        <v>205</v>
      </c>
      <c r="H57" s="12">
        <v>13</v>
      </c>
      <c r="I57" s="13">
        <v>950</v>
      </c>
      <c r="J57" s="14">
        <v>0.1</v>
      </c>
      <c r="K57" s="12" t="s">
        <v>19</v>
      </c>
      <c r="L57" s="12" t="s">
        <v>20</v>
      </c>
      <c r="M57" s="12" t="s">
        <v>44</v>
      </c>
      <c r="N57" s="6">
        <f>Table1[[#This Row],[Quantity]]*Table1[[#This Row],[Unit_Price_INR]]</f>
        <v>12350</v>
      </c>
      <c r="O57" s="6">
        <f>Table1[[#This Row],[Gross sales]]*Table1[[#This Row],[Discount_Rate]]</f>
        <v>1235</v>
      </c>
      <c r="P57" s="6">
        <f>Table1[[#This Row],[Gross sales]]-Table1[[#This Row],[Discount_Amount]]</f>
        <v>11115</v>
      </c>
      <c r="Q57" s="6" t="str">
        <f>TEXT(Table1[[#This Row],[Date]],"mmmm")</f>
        <v>April</v>
      </c>
      <c r="R57" s="9" t="str">
        <f>IF(OR(Table1[[#This Row],[Status]]="Pending",Table1[[#This Row],[Status]]="Refunded"),"Review","OK")</f>
        <v>OK</v>
      </c>
      <c r="S57" s="6" t="str">
        <f>IF(Table1[[#This Row],[Net_Sales]]&gt;25000,"Hgh",IF(Table1[[#This Row],[Net_Sales]]&gt;10000,"Medium","Low"))</f>
        <v>Medium</v>
      </c>
      <c r="T57" s="6" t="b">
        <f>AND(Table1[[#This Row],[Quantity]]&gt;=5,Table1[[#This Row],[Discount_Rate]]&gt;=10%)</f>
        <v>1</v>
      </c>
      <c r="U57" s="6" t="b">
        <f>OR(Table1[[#This Row],[Payment_Method]]="UPI",Table1[[#This Row],[Payment_Method]]="Cash")</f>
        <v>1</v>
      </c>
      <c r="V57" s="6">
        <f>IFERROR(Table1[[#This Row],[Net_Sales]]/Table1[[#This Row],[Quantity]],"ERROR")</f>
        <v>855</v>
      </c>
      <c r="W57" s="6" t="str">
        <f>PROPER(TRIM(Table1[[#This Row],[Customer_Name]]))</f>
        <v>Driftwood Shop</v>
      </c>
      <c r="X57" s="6" t="str">
        <f>PROPER(TRIM(Table1[[#This Row],[Region]]))</f>
        <v>East</v>
      </c>
      <c r="Y57" s="6">
        <f>YEAR(Table1[[#This Row],[Date]])</f>
        <v>2026</v>
      </c>
      <c r="Z57" s="6">
        <f>MONTH(Table1[[#This Row],[Date]])</f>
        <v>4</v>
      </c>
      <c r="AA57" s="6" t="str">
        <f>MID(Table1[[#This Row],[Transaction_ID]],4,7)</f>
        <v>1056</v>
      </c>
      <c r="AB57" s="6" t="str">
        <f>_xlfn.CONCAT(Table1[[#This Row],[Region]],"-",Table1[[#This Row],[Category]])</f>
        <v>East-Fashion</v>
      </c>
    </row>
    <row r="58" spans="1:28" ht="15.75" customHeight="1">
      <c r="A58" s="4" t="s">
        <v>206</v>
      </c>
      <c r="B58" s="5">
        <v>46136</v>
      </c>
      <c r="C58" s="6" t="s">
        <v>14</v>
      </c>
      <c r="D58" s="6" t="s">
        <v>39</v>
      </c>
      <c r="E58" s="6" t="s">
        <v>207</v>
      </c>
      <c r="F58" s="6" t="s">
        <v>33</v>
      </c>
      <c r="G58" s="6" t="s">
        <v>208</v>
      </c>
      <c r="H58" s="6">
        <v>16</v>
      </c>
      <c r="I58" s="7">
        <v>880</v>
      </c>
      <c r="J58" s="8">
        <v>0.02</v>
      </c>
      <c r="K58" s="6" t="s">
        <v>43</v>
      </c>
      <c r="L58" s="6" t="s">
        <v>20</v>
      </c>
      <c r="M58" s="6" t="s">
        <v>21</v>
      </c>
      <c r="N58" s="6">
        <f>Table1[[#This Row],[Quantity]]*Table1[[#This Row],[Unit_Price_INR]]</f>
        <v>14080</v>
      </c>
      <c r="O58" s="6">
        <f>Table1[[#This Row],[Gross sales]]*Table1[[#This Row],[Discount_Rate]]</f>
        <v>281.60000000000002</v>
      </c>
      <c r="P58" s="6">
        <f>Table1[[#This Row],[Gross sales]]-Table1[[#This Row],[Discount_Amount]]</f>
        <v>13798.4</v>
      </c>
      <c r="Q58" s="6" t="str">
        <f>TEXT(Table1[[#This Row],[Date]],"mmmm")</f>
        <v>April</v>
      </c>
      <c r="R58" s="9" t="str">
        <f>IF(OR(Table1[[#This Row],[Status]]="Pending",Table1[[#This Row],[Status]]="Refunded"),"Review","OK")</f>
        <v>OK</v>
      </c>
      <c r="S58" s="6" t="str">
        <f>IF(Table1[[#This Row],[Net_Sales]]&gt;25000,"Hgh",IF(Table1[[#This Row],[Net_Sales]]&gt;10000,"Medium","Low"))</f>
        <v>Medium</v>
      </c>
      <c r="T58" s="6" t="b">
        <f>AND(Table1[[#This Row],[Quantity]]&gt;=5,Table1[[#This Row],[Discount_Rate]]&gt;=10%)</f>
        <v>0</v>
      </c>
      <c r="U58" s="6" t="b">
        <f>OR(Table1[[#This Row],[Payment_Method]]="UPI",Table1[[#This Row],[Payment_Method]]="Cash")</f>
        <v>0</v>
      </c>
      <c r="V58" s="6">
        <f>IFERROR(Table1[[#This Row],[Net_Sales]]/Table1[[#This Row],[Quantity]],"ERROR")</f>
        <v>862.4</v>
      </c>
      <c r="W58" s="6" t="str">
        <f>PROPER(TRIM(Table1[[#This Row],[Customer_Name]]))</f>
        <v>Ember Distributors</v>
      </c>
      <c r="X58" s="6" t="str">
        <f>PROPER(TRIM(Table1[[#This Row],[Region]]))</f>
        <v>North</v>
      </c>
      <c r="Y58" s="6">
        <f>YEAR(Table1[[#This Row],[Date]])</f>
        <v>2026</v>
      </c>
      <c r="Z58" s="6">
        <f>MONTH(Table1[[#This Row],[Date]])</f>
        <v>4</v>
      </c>
      <c r="AA58" s="6" t="str">
        <f>MID(Table1[[#This Row],[Transaction_ID]],4,7)</f>
        <v>1057</v>
      </c>
      <c r="AB58" s="6" t="str">
        <f>_xlfn.CONCAT(Table1[[#This Row],[Region]],"-",Table1[[#This Row],[Category]])</f>
        <v>North-Grocery</v>
      </c>
    </row>
    <row r="59" spans="1:28" ht="15.75" customHeight="1">
      <c r="A59" s="10" t="s">
        <v>209</v>
      </c>
      <c r="B59" s="11">
        <v>46138</v>
      </c>
      <c r="C59" s="12" t="s">
        <v>23</v>
      </c>
      <c r="D59" s="12" t="s">
        <v>24</v>
      </c>
      <c r="E59" s="12" t="s">
        <v>210</v>
      </c>
      <c r="F59" s="12" t="s">
        <v>26</v>
      </c>
      <c r="G59" s="12" t="s">
        <v>211</v>
      </c>
      <c r="H59" s="12">
        <v>6</v>
      </c>
      <c r="I59" s="13">
        <v>1750</v>
      </c>
      <c r="J59" s="14">
        <v>0.05</v>
      </c>
      <c r="K59" s="12" t="s">
        <v>28</v>
      </c>
      <c r="L59" s="12" t="s">
        <v>20</v>
      </c>
      <c r="M59" s="12" t="s">
        <v>52</v>
      </c>
      <c r="N59" s="6">
        <f>Table1[[#This Row],[Quantity]]*Table1[[#This Row],[Unit_Price_INR]]</f>
        <v>10500</v>
      </c>
      <c r="O59" s="6">
        <f>Table1[[#This Row],[Gross sales]]*Table1[[#This Row],[Discount_Rate]]</f>
        <v>525</v>
      </c>
      <c r="P59" s="6">
        <f>Table1[[#This Row],[Gross sales]]-Table1[[#This Row],[Discount_Amount]]</f>
        <v>9975</v>
      </c>
      <c r="Q59" s="6" t="str">
        <f>TEXT(Table1[[#This Row],[Date]],"mmmm")</f>
        <v>April</v>
      </c>
      <c r="R59" s="9" t="str">
        <f>IF(OR(Table1[[#This Row],[Status]]="Pending",Table1[[#This Row],[Status]]="Refunded"),"Review","OK")</f>
        <v>OK</v>
      </c>
      <c r="S59" s="6" t="str">
        <f>IF(Table1[[#This Row],[Net_Sales]]&gt;25000,"Hgh",IF(Table1[[#This Row],[Net_Sales]]&gt;10000,"Medium","Low"))</f>
        <v>Low</v>
      </c>
      <c r="T59" s="6" t="b">
        <f>AND(Table1[[#This Row],[Quantity]]&gt;=5,Table1[[#This Row],[Discount_Rate]]&gt;=10%)</f>
        <v>0</v>
      </c>
      <c r="U59" s="6" t="b">
        <f>OR(Table1[[#This Row],[Payment_Method]]="UPI",Table1[[#This Row],[Payment_Method]]="Cash")</f>
        <v>0</v>
      </c>
      <c r="V59" s="6">
        <f>IFERROR(Table1[[#This Row],[Net_Sales]]/Table1[[#This Row],[Quantity]],"ERROR")</f>
        <v>1662.5</v>
      </c>
      <c r="W59" s="6" t="str">
        <f>PROPER(TRIM(Table1[[#This Row],[Customer_Name]]))</f>
        <v>Flint Retail</v>
      </c>
      <c r="X59" s="6" t="str">
        <f>PROPER(TRIM(Table1[[#This Row],[Region]]))</f>
        <v>South</v>
      </c>
      <c r="Y59" s="6">
        <f>YEAR(Table1[[#This Row],[Date]])</f>
        <v>2026</v>
      </c>
      <c r="Z59" s="6">
        <f>MONTH(Table1[[#This Row],[Date]])</f>
        <v>4</v>
      </c>
      <c r="AA59" s="6" t="str">
        <f>MID(Table1[[#This Row],[Transaction_ID]],4,7)</f>
        <v>1058</v>
      </c>
      <c r="AB59" s="6" t="str">
        <f>_xlfn.CONCAT(Table1[[#This Row],[Region]],"-",Table1[[#This Row],[Category]])</f>
        <v>South-Home</v>
      </c>
    </row>
    <row r="60" spans="1:28" ht="15.75" customHeight="1">
      <c r="A60" s="4" t="s">
        <v>212</v>
      </c>
      <c r="B60" s="5">
        <v>46140</v>
      </c>
      <c r="C60" s="6" t="s">
        <v>31</v>
      </c>
      <c r="D60" s="6" t="s">
        <v>15</v>
      </c>
      <c r="E60" s="6" t="s">
        <v>213</v>
      </c>
      <c r="F60" s="6" t="s">
        <v>17</v>
      </c>
      <c r="G60" s="6" t="s">
        <v>214</v>
      </c>
      <c r="H60" s="6">
        <v>5</v>
      </c>
      <c r="I60" s="7">
        <v>5300</v>
      </c>
      <c r="J60" s="8">
        <v>0.08</v>
      </c>
      <c r="K60" s="6" t="s">
        <v>19</v>
      </c>
      <c r="L60" s="6" t="s">
        <v>20</v>
      </c>
      <c r="M60" s="6" t="s">
        <v>36</v>
      </c>
      <c r="N60" s="6">
        <f>Table1[[#This Row],[Quantity]]*Table1[[#This Row],[Unit_Price_INR]]</f>
        <v>26500</v>
      </c>
      <c r="O60" s="6">
        <f>Table1[[#This Row],[Gross sales]]*Table1[[#This Row],[Discount_Rate]]</f>
        <v>2120</v>
      </c>
      <c r="P60" s="6">
        <f>Table1[[#This Row],[Gross sales]]-Table1[[#This Row],[Discount_Amount]]</f>
        <v>24380</v>
      </c>
      <c r="Q60" s="6" t="str">
        <f>TEXT(Table1[[#This Row],[Date]],"mmmm")</f>
        <v>April</v>
      </c>
      <c r="R60" s="9" t="str">
        <f>IF(OR(Table1[[#This Row],[Status]]="Pending",Table1[[#This Row],[Status]]="Refunded"),"Review","OK")</f>
        <v>OK</v>
      </c>
      <c r="S60" s="6" t="str">
        <f>IF(Table1[[#This Row],[Net_Sales]]&gt;25000,"Hgh",IF(Table1[[#This Row],[Net_Sales]]&gt;10000,"Medium","Low"))</f>
        <v>Medium</v>
      </c>
      <c r="T60" s="6" t="b">
        <f>AND(Table1[[#This Row],[Quantity]]&gt;=5,Table1[[#This Row],[Discount_Rate]]&gt;=10%)</f>
        <v>0</v>
      </c>
      <c r="U60" s="6" t="b">
        <f>OR(Table1[[#This Row],[Payment_Method]]="UPI",Table1[[#This Row],[Payment_Method]]="Cash")</f>
        <v>1</v>
      </c>
      <c r="V60" s="6">
        <f>IFERROR(Table1[[#This Row],[Net_Sales]]/Table1[[#This Row],[Quantity]],"ERROR")</f>
        <v>4876</v>
      </c>
      <c r="W60" s="6" t="str">
        <f>PROPER(TRIM(Table1[[#This Row],[Customer_Name]]))</f>
        <v>Glacier Market</v>
      </c>
      <c r="X60" s="6" t="str">
        <f>PROPER(TRIM(Table1[[#This Row],[Region]]))</f>
        <v>West</v>
      </c>
      <c r="Y60" s="6">
        <f>YEAR(Table1[[#This Row],[Date]])</f>
        <v>2026</v>
      </c>
      <c r="Z60" s="6">
        <f>MONTH(Table1[[#This Row],[Date]])</f>
        <v>4</v>
      </c>
      <c r="AA60" s="6" t="str">
        <f>MID(Table1[[#This Row],[Transaction_ID]],4,7)</f>
        <v>1059</v>
      </c>
      <c r="AB60" s="6" t="str">
        <f>_xlfn.CONCAT(Table1[[#This Row],[Region]],"-",Table1[[#This Row],[Category]])</f>
        <v>West-Electronics</v>
      </c>
    </row>
    <row r="61" spans="1:28" ht="15.75" customHeight="1">
      <c r="A61" s="10" t="s">
        <v>215</v>
      </c>
      <c r="B61" s="11">
        <v>46142</v>
      </c>
      <c r="C61" s="12" t="s">
        <v>38</v>
      </c>
      <c r="D61" s="12" t="s">
        <v>39</v>
      </c>
      <c r="E61" s="12" t="s">
        <v>216</v>
      </c>
      <c r="F61" s="12" t="s">
        <v>41</v>
      </c>
      <c r="G61" s="12" t="s">
        <v>217</v>
      </c>
      <c r="H61" s="12">
        <v>3</v>
      </c>
      <c r="I61" s="13">
        <v>6900</v>
      </c>
      <c r="J61" s="14">
        <v>0.06</v>
      </c>
      <c r="K61" s="12" t="s">
        <v>43</v>
      </c>
      <c r="L61" s="12" t="s">
        <v>20</v>
      </c>
      <c r="M61" s="12" t="s">
        <v>44</v>
      </c>
      <c r="N61" s="6">
        <f>Table1[[#This Row],[Quantity]]*Table1[[#This Row],[Unit_Price_INR]]</f>
        <v>20700</v>
      </c>
      <c r="O61" s="6">
        <f>Table1[[#This Row],[Gross sales]]*Table1[[#This Row],[Discount_Rate]]</f>
        <v>1242</v>
      </c>
      <c r="P61" s="6">
        <f>Table1[[#This Row],[Gross sales]]-Table1[[#This Row],[Discount_Amount]]</f>
        <v>19458</v>
      </c>
      <c r="Q61" s="6" t="str">
        <f>TEXT(Table1[[#This Row],[Date]],"mmmm")</f>
        <v>April</v>
      </c>
      <c r="R61" s="9" t="str">
        <f>IF(OR(Table1[[#This Row],[Status]]="Pending",Table1[[#This Row],[Status]]="Refunded"),"Review","OK")</f>
        <v>OK</v>
      </c>
      <c r="S61" s="6" t="str">
        <f>IF(Table1[[#This Row],[Net_Sales]]&gt;25000,"Hgh",IF(Table1[[#This Row],[Net_Sales]]&gt;10000,"Medium","Low"))</f>
        <v>Medium</v>
      </c>
      <c r="T61" s="6" t="b">
        <f>AND(Table1[[#This Row],[Quantity]]&gt;=5,Table1[[#This Row],[Discount_Rate]]&gt;=10%)</f>
        <v>0</v>
      </c>
      <c r="U61" s="6" t="b">
        <f>OR(Table1[[#This Row],[Payment_Method]]="UPI",Table1[[#This Row],[Payment_Method]]="Cash")</f>
        <v>0</v>
      </c>
      <c r="V61" s="6">
        <f>IFERROR(Table1[[#This Row],[Net_Sales]]/Table1[[#This Row],[Quantity]],"ERROR")</f>
        <v>6486</v>
      </c>
      <c r="W61" s="6" t="str">
        <f>PROPER(TRIM(Table1[[#This Row],[Customer_Name]]))</f>
        <v>Horizon Traders</v>
      </c>
      <c r="X61" s="6" t="str">
        <f>PROPER(TRIM(Table1[[#This Row],[Region]]))</f>
        <v>East</v>
      </c>
      <c r="Y61" s="6">
        <f>YEAR(Table1[[#This Row],[Date]])</f>
        <v>2026</v>
      </c>
      <c r="Z61" s="6">
        <f>MONTH(Table1[[#This Row],[Date]])</f>
        <v>4</v>
      </c>
      <c r="AA61" s="6" t="str">
        <f>MID(Table1[[#This Row],[Transaction_ID]],4,7)</f>
        <v>1060</v>
      </c>
      <c r="AB61" s="6" t="str">
        <f>_xlfn.CONCAT(Table1[[#This Row],[Region]],"-",Table1[[#This Row],[Category]])</f>
        <v>East-Office</v>
      </c>
    </row>
    <row r="62" spans="1:28" ht="15.75" customHeight="1">
      <c r="A62" s="4" t="s">
        <v>218</v>
      </c>
      <c r="B62" s="5">
        <v>46144</v>
      </c>
      <c r="C62" s="6" t="s">
        <v>219</v>
      </c>
      <c r="D62" s="6" t="s">
        <v>24</v>
      </c>
      <c r="E62" s="6" t="s">
        <v>220</v>
      </c>
      <c r="F62" s="6" t="s">
        <v>17</v>
      </c>
      <c r="G62" s="6" t="s">
        <v>221</v>
      </c>
      <c r="H62" s="6">
        <v>6</v>
      </c>
      <c r="I62" s="7">
        <v>850</v>
      </c>
      <c r="J62" s="8">
        <v>0.05</v>
      </c>
      <c r="K62" s="6" t="s">
        <v>19</v>
      </c>
      <c r="L62" s="6" t="s">
        <v>20</v>
      </c>
      <c r="M62" s="6" t="s">
        <v>21</v>
      </c>
      <c r="N62" s="6">
        <f>Table1[[#This Row],[Quantity]]*Table1[[#This Row],[Unit_Price_INR]]</f>
        <v>5100</v>
      </c>
      <c r="O62" s="6">
        <f>Table1[[#This Row],[Gross sales]]*Table1[[#This Row],[Discount_Rate]]</f>
        <v>255</v>
      </c>
      <c r="P62" s="6">
        <f>Table1[[#This Row],[Gross sales]]-Table1[[#This Row],[Discount_Amount]]</f>
        <v>4845</v>
      </c>
      <c r="Q62" s="6" t="str">
        <f>TEXT(Table1[[#This Row],[Date]],"mmmm")</f>
        <v>May</v>
      </c>
      <c r="R62" s="9" t="str">
        <f>IF(OR(Table1[[#This Row],[Status]]="Pending",Table1[[#This Row],[Status]]="Refunded"),"Review","OK")</f>
        <v>OK</v>
      </c>
      <c r="S62" s="6" t="str">
        <f>IF(Table1[[#This Row],[Net_Sales]]&gt;25000,"Hgh",IF(Table1[[#This Row],[Net_Sales]]&gt;10000,"Medium","Low"))</f>
        <v>Low</v>
      </c>
      <c r="T62" s="6" t="b">
        <f>AND(Table1[[#This Row],[Quantity]]&gt;=5,Table1[[#This Row],[Discount_Rate]]&gt;=10%)</f>
        <v>0</v>
      </c>
      <c r="U62" s="6" t="b">
        <f>OR(Table1[[#This Row],[Payment_Method]]="UPI",Table1[[#This Row],[Payment_Method]]="Cash")</f>
        <v>1</v>
      </c>
      <c r="V62" s="6">
        <f>IFERROR(Table1[[#This Row],[Net_Sales]]/Table1[[#This Row],[Quantity]],"ERROR")</f>
        <v>807.5</v>
      </c>
      <c r="W62" s="6" t="str">
        <f>PROPER(TRIM(Table1[[#This Row],[Customer_Name]]))</f>
        <v>Ivy Retail</v>
      </c>
      <c r="X62" s="6" t="str">
        <f>PROPER(TRIM(Table1[[#This Row],[Region]]))</f>
        <v>North</v>
      </c>
      <c r="Y62" s="6">
        <f>YEAR(Table1[[#This Row],[Date]])</f>
        <v>2026</v>
      </c>
      <c r="Z62" s="6">
        <f>MONTH(Table1[[#This Row],[Date]])</f>
        <v>5</v>
      </c>
      <c r="AA62" s="6" t="str">
        <f>MID(Table1[[#This Row],[Transaction_ID]],4,7)</f>
        <v>1061</v>
      </c>
      <c r="AB62" s="6" t="str">
        <f>_xlfn.CONCAT(Table1[[#This Row],[Region]],"-",Table1[[#This Row],[Category]])</f>
        <v xml:space="preserve"> north -Electronics</v>
      </c>
    </row>
    <row r="63" spans="1:28" ht="15.75" customHeight="1">
      <c r="A63" s="10" t="s">
        <v>222</v>
      </c>
      <c r="B63" s="11">
        <v>46145</v>
      </c>
      <c r="C63" s="12" t="s">
        <v>23</v>
      </c>
      <c r="D63" s="12" t="s">
        <v>15</v>
      </c>
      <c r="E63" s="12" t="s">
        <v>223</v>
      </c>
      <c r="F63" s="12" t="s">
        <v>26</v>
      </c>
      <c r="G63" s="12" t="s">
        <v>224</v>
      </c>
      <c r="H63" s="12">
        <v>4</v>
      </c>
      <c r="I63" s="13">
        <v>1650</v>
      </c>
      <c r="J63" s="14">
        <v>0.08</v>
      </c>
      <c r="K63" s="12" t="s">
        <v>28</v>
      </c>
      <c r="L63" s="12" t="s">
        <v>20</v>
      </c>
      <c r="M63" s="12" t="s">
        <v>52</v>
      </c>
      <c r="N63" s="6">
        <f>Table1[[#This Row],[Quantity]]*Table1[[#This Row],[Unit_Price_INR]]</f>
        <v>6600</v>
      </c>
      <c r="O63" s="6">
        <f>Table1[[#This Row],[Gross sales]]*Table1[[#This Row],[Discount_Rate]]</f>
        <v>528</v>
      </c>
      <c r="P63" s="6">
        <f>Table1[[#This Row],[Gross sales]]-Table1[[#This Row],[Discount_Amount]]</f>
        <v>6072</v>
      </c>
      <c r="Q63" s="6" t="str">
        <f>TEXT(Table1[[#This Row],[Date]],"mmmm")</f>
        <v>May</v>
      </c>
      <c r="R63" s="9" t="str">
        <f>IF(OR(Table1[[#This Row],[Status]]="Pending",Table1[[#This Row],[Status]]="Refunded"),"Review","OK")</f>
        <v>OK</v>
      </c>
      <c r="S63" s="6" t="str">
        <f>IF(Table1[[#This Row],[Net_Sales]]&gt;25000,"Hgh",IF(Table1[[#This Row],[Net_Sales]]&gt;10000,"Medium","Low"))</f>
        <v>Low</v>
      </c>
      <c r="T63" s="6" t="b">
        <f>AND(Table1[[#This Row],[Quantity]]&gt;=5,Table1[[#This Row],[Discount_Rate]]&gt;=10%)</f>
        <v>0</v>
      </c>
      <c r="U63" s="6" t="b">
        <f>OR(Table1[[#This Row],[Payment_Method]]="UPI",Table1[[#This Row],[Payment_Method]]="Cash")</f>
        <v>0</v>
      </c>
      <c r="V63" s="6">
        <f>IFERROR(Table1[[#This Row],[Net_Sales]]/Table1[[#This Row],[Quantity]],"ERROR")</f>
        <v>1518</v>
      </c>
      <c r="W63" s="6" t="str">
        <f>PROPER(TRIM(Table1[[#This Row],[Customer_Name]]))</f>
        <v>Jade Stores</v>
      </c>
      <c r="X63" s="6" t="str">
        <f>PROPER(TRIM(Table1[[#This Row],[Region]]))</f>
        <v>South</v>
      </c>
      <c r="Y63" s="6">
        <f>YEAR(Table1[[#This Row],[Date]])</f>
        <v>2026</v>
      </c>
      <c r="Z63" s="6">
        <f>MONTH(Table1[[#This Row],[Date]])</f>
        <v>5</v>
      </c>
      <c r="AA63" s="6" t="str">
        <f>MID(Table1[[#This Row],[Transaction_ID]],4,7)</f>
        <v>1062</v>
      </c>
      <c r="AB63" s="6" t="str">
        <f>_xlfn.CONCAT(Table1[[#This Row],[Region]],"-",Table1[[#This Row],[Category]])</f>
        <v>South-Home</v>
      </c>
    </row>
    <row r="64" spans="1:28" ht="15.75" customHeight="1">
      <c r="A64" s="4" t="s">
        <v>225</v>
      </c>
      <c r="B64" s="5">
        <v>46147</v>
      </c>
      <c r="C64" s="6" t="s">
        <v>31</v>
      </c>
      <c r="D64" s="6" t="s">
        <v>39</v>
      </c>
      <c r="E64" s="6" t="s">
        <v>226</v>
      </c>
      <c r="F64" s="6" t="s">
        <v>41</v>
      </c>
      <c r="G64" s="6" t="s">
        <v>227</v>
      </c>
      <c r="H64" s="6">
        <v>7</v>
      </c>
      <c r="I64" s="7">
        <v>1250</v>
      </c>
      <c r="J64" s="8">
        <v>0.04</v>
      </c>
      <c r="K64" s="6" t="s">
        <v>43</v>
      </c>
      <c r="L64" s="6" t="s">
        <v>56</v>
      </c>
      <c r="M64" s="6" t="s">
        <v>36</v>
      </c>
      <c r="N64" s="6">
        <f>Table1[[#This Row],[Quantity]]*Table1[[#This Row],[Unit_Price_INR]]</f>
        <v>8750</v>
      </c>
      <c r="O64" s="6">
        <f>Table1[[#This Row],[Gross sales]]*Table1[[#This Row],[Discount_Rate]]</f>
        <v>350</v>
      </c>
      <c r="P64" s="6">
        <f>Table1[[#This Row],[Gross sales]]-Table1[[#This Row],[Discount_Amount]]</f>
        <v>8400</v>
      </c>
      <c r="Q64" s="6" t="str">
        <f>TEXT(Table1[[#This Row],[Date]],"mmmm")</f>
        <v>May</v>
      </c>
      <c r="R64" s="9" t="str">
        <f>IF(OR(Table1[[#This Row],[Status]]="Pending",Table1[[#This Row],[Status]]="Refunded"),"Review","OK")</f>
        <v>Review</v>
      </c>
      <c r="S64" s="6" t="str">
        <f>IF(Table1[[#This Row],[Net_Sales]]&gt;25000,"Hgh",IF(Table1[[#This Row],[Net_Sales]]&gt;10000,"Medium","Low"))</f>
        <v>Low</v>
      </c>
      <c r="T64" s="6" t="b">
        <f>AND(Table1[[#This Row],[Quantity]]&gt;=5,Table1[[#This Row],[Discount_Rate]]&gt;=10%)</f>
        <v>0</v>
      </c>
      <c r="U64" s="6" t="b">
        <f>OR(Table1[[#This Row],[Payment_Method]]="UPI",Table1[[#This Row],[Payment_Method]]="Cash")</f>
        <v>0</v>
      </c>
      <c r="V64" s="6">
        <f>IFERROR(Table1[[#This Row],[Net_Sales]]/Table1[[#This Row],[Quantity]],"ERROR")</f>
        <v>1200</v>
      </c>
      <c r="W64" s="6" t="str">
        <f>PROPER(TRIM(Table1[[#This Row],[Customer_Name]]))</f>
        <v>Keystone Traders</v>
      </c>
      <c r="X64" s="6" t="str">
        <f>PROPER(TRIM(Table1[[#This Row],[Region]]))</f>
        <v>West</v>
      </c>
      <c r="Y64" s="6">
        <f>YEAR(Table1[[#This Row],[Date]])</f>
        <v>2026</v>
      </c>
      <c r="Z64" s="6">
        <f>MONTH(Table1[[#This Row],[Date]])</f>
        <v>5</v>
      </c>
      <c r="AA64" s="6" t="str">
        <f>MID(Table1[[#This Row],[Transaction_ID]],4,7)</f>
        <v>1063</v>
      </c>
      <c r="AB64" s="6" t="str">
        <f>_xlfn.CONCAT(Table1[[#This Row],[Region]],"-",Table1[[#This Row],[Category]])</f>
        <v>West-Office</v>
      </c>
    </row>
    <row r="65" spans="1:28" ht="15.75" customHeight="1">
      <c r="A65" s="4" t="s">
        <v>228</v>
      </c>
      <c r="B65" s="5">
        <v>46149</v>
      </c>
      <c r="C65" s="6" t="s">
        <v>38</v>
      </c>
      <c r="D65" s="6" t="s">
        <v>24</v>
      </c>
      <c r="E65" s="6" t="s">
        <v>229</v>
      </c>
      <c r="F65" s="6" t="s">
        <v>17</v>
      </c>
      <c r="G65" s="6" t="s">
        <v>230</v>
      </c>
      <c r="H65" s="6">
        <v>0</v>
      </c>
      <c r="I65" s="7">
        <v>450</v>
      </c>
      <c r="J65" s="8">
        <v>0</v>
      </c>
      <c r="K65" s="6" t="s">
        <v>35</v>
      </c>
      <c r="L65" s="6" t="s">
        <v>118</v>
      </c>
      <c r="M65" s="6" t="s">
        <v>44</v>
      </c>
      <c r="N65" s="6">
        <f>Table1[[#This Row],[Quantity]]*Table1[[#This Row],[Unit_Price_INR]]</f>
        <v>0</v>
      </c>
      <c r="O65" s="6">
        <f>Table1[[#This Row],[Gross sales]]*Table1[[#This Row],[Discount_Rate]]</f>
        <v>0</v>
      </c>
      <c r="P65" s="6">
        <f>Table1[[#This Row],[Gross sales]]-Table1[[#This Row],[Discount_Amount]]</f>
        <v>0</v>
      </c>
      <c r="Q65" s="6" t="str">
        <f>TEXT(Table1[[#This Row],[Date]],"mmmm")</f>
        <v>May</v>
      </c>
      <c r="R65" s="9" t="str">
        <f>IF(OR(Table1[[#This Row],[Status]]="Pending",Table1[[#This Row],[Status]]="Refunded"),"Review","OK")</f>
        <v>OK</v>
      </c>
      <c r="S65" s="6" t="str">
        <f>IF(Table1[[#This Row],[Net_Sales]]&gt;25000,"Hgh",IF(Table1[[#This Row],[Net_Sales]]&gt;10000,"Medium","Low"))</f>
        <v>Low</v>
      </c>
      <c r="T65" s="6" t="b">
        <f>AND(Table1[[#This Row],[Quantity]]&gt;=5,Table1[[#This Row],[Discount_Rate]]&gt;=10%)</f>
        <v>0</v>
      </c>
      <c r="U65" s="6" t="b">
        <f>OR(Table1[[#This Row],[Payment_Method]]="UPI",Table1[[#This Row],[Payment_Method]]="Cash")</f>
        <v>1</v>
      </c>
      <c r="V65" s="6" t="str">
        <f>IFERROR(Table1[[#This Row],[Net_Sales]]/Table1[[#This Row],[Quantity]],"ERROR")</f>
        <v>ERROR</v>
      </c>
      <c r="W65" s="6" t="str">
        <f>PROPER(TRIM(Table1[[#This Row],[Customer_Name]]))</f>
        <v>Lumen Shop</v>
      </c>
      <c r="X65" s="6" t="str">
        <f>PROPER(TRIM(Table1[[#This Row],[Region]]))</f>
        <v>East</v>
      </c>
      <c r="Y65" s="6">
        <f>YEAR(Table1[[#This Row],[Date]])</f>
        <v>2026</v>
      </c>
      <c r="Z65" s="6">
        <f>MONTH(Table1[[#This Row],[Date]])</f>
        <v>5</v>
      </c>
      <c r="AA65" s="6" t="str">
        <f>MID(Table1[[#This Row],[Transaction_ID]],4,7)</f>
        <v>1065</v>
      </c>
      <c r="AB65" s="6" t="str">
        <f>_xlfn.CONCAT(Table1[[#This Row],[Region]],"-",Table1[[#This Row],[Category]])</f>
        <v>East-Electronics</v>
      </c>
    </row>
    <row r="66" spans="1:28" ht="15.75" customHeight="1">
      <c r="A66" s="10" t="s">
        <v>231</v>
      </c>
      <c r="B66" s="11">
        <v>46151</v>
      </c>
      <c r="C66" s="12" t="s">
        <v>14</v>
      </c>
      <c r="D66" s="12" t="s">
        <v>15</v>
      </c>
      <c r="E66" s="12" t="s">
        <v>232</v>
      </c>
      <c r="F66" s="12" t="s">
        <v>33</v>
      </c>
      <c r="G66" s="12" t="s">
        <v>233</v>
      </c>
      <c r="H66" s="12">
        <v>5</v>
      </c>
      <c r="I66" s="13">
        <v>980</v>
      </c>
      <c r="J66" s="14">
        <v>0.05</v>
      </c>
      <c r="K66" s="12" t="s">
        <v>19</v>
      </c>
      <c r="L66" s="12" t="s">
        <v>20</v>
      </c>
      <c r="M66" s="12" t="s">
        <v>21</v>
      </c>
      <c r="N66" s="6">
        <f>Table1[[#This Row],[Quantity]]*Table1[[#This Row],[Unit_Price_INR]]</f>
        <v>4900</v>
      </c>
      <c r="O66" s="6">
        <f>Table1[[#This Row],[Gross sales]]*Table1[[#This Row],[Discount_Rate]]</f>
        <v>245</v>
      </c>
      <c r="P66" s="6">
        <f>Table1[[#This Row],[Gross sales]]-Table1[[#This Row],[Discount_Amount]]</f>
        <v>4655</v>
      </c>
      <c r="Q66" s="6" t="str">
        <f>TEXT(Table1[[#This Row],[Date]],"mmmm")</f>
        <v>May</v>
      </c>
      <c r="R66" s="9" t="str">
        <f>IF(OR(Table1[[#This Row],[Status]]="Pending",Table1[[#This Row],[Status]]="Refunded"),"Review","OK")</f>
        <v>OK</v>
      </c>
      <c r="S66" s="6" t="str">
        <f>IF(Table1[[#This Row],[Net_Sales]]&gt;25000,"Hgh",IF(Table1[[#This Row],[Net_Sales]]&gt;10000,"Medium","Low"))</f>
        <v>Low</v>
      </c>
      <c r="T66" s="6" t="b">
        <f>AND(Table1[[#This Row],[Quantity]]&gt;=5,Table1[[#This Row],[Discount_Rate]]&gt;=10%)</f>
        <v>0</v>
      </c>
      <c r="U66" s="6" t="b">
        <f>OR(Table1[[#This Row],[Payment_Method]]="UPI",Table1[[#This Row],[Payment_Method]]="Cash")</f>
        <v>1</v>
      </c>
      <c r="V66" s="6">
        <f>IFERROR(Table1[[#This Row],[Net_Sales]]/Table1[[#This Row],[Quantity]],"ERROR")</f>
        <v>931</v>
      </c>
      <c r="W66" s="6" t="str">
        <f>PROPER(TRIM(Table1[[#This Row],[Customer_Name]]))</f>
        <v>Mango Market</v>
      </c>
      <c r="X66" s="6" t="str">
        <f>PROPER(TRIM(Table1[[#This Row],[Region]]))</f>
        <v>North</v>
      </c>
      <c r="Y66" s="6">
        <f>YEAR(Table1[[#This Row],[Date]])</f>
        <v>2026</v>
      </c>
      <c r="Z66" s="6">
        <f>MONTH(Table1[[#This Row],[Date]])</f>
        <v>5</v>
      </c>
      <c r="AA66" s="6" t="str">
        <f>MID(Table1[[#This Row],[Transaction_ID]],4,7)</f>
        <v>1066</v>
      </c>
      <c r="AB66" s="6" t="str">
        <f>_xlfn.CONCAT(Table1[[#This Row],[Region]],"-",Table1[[#This Row],[Category]])</f>
        <v>North-Grocery</v>
      </c>
    </row>
    <row r="67" spans="1:28" ht="15.75" customHeight="1">
      <c r="A67" s="4" t="s">
        <v>234</v>
      </c>
      <c r="B67" s="5">
        <v>46152</v>
      </c>
      <c r="C67" s="6" t="s">
        <v>23</v>
      </c>
      <c r="D67" s="6" t="s">
        <v>24</v>
      </c>
      <c r="E67" s="6" t="s">
        <v>235</v>
      </c>
      <c r="F67" s="6" t="s">
        <v>47</v>
      </c>
      <c r="G67" s="6" t="s">
        <v>236</v>
      </c>
      <c r="H67" s="6">
        <v>3</v>
      </c>
      <c r="I67" s="7">
        <v>700</v>
      </c>
      <c r="J67" s="8">
        <v>0.1</v>
      </c>
      <c r="K67" s="6" t="s">
        <v>28</v>
      </c>
      <c r="L67" s="6" t="s">
        <v>20</v>
      </c>
      <c r="M67" s="6" t="s">
        <v>52</v>
      </c>
      <c r="N67" s="6">
        <f>Table1[[#This Row],[Quantity]]*Table1[[#This Row],[Unit_Price_INR]]</f>
        <v>2100</v>
      </c>
      <c r="O67" s="6">
        <f>Table1[[#This Row],[Gross sales]]*Table1[[#This Row],[Discount_Rate]]</f>
        <v>210</v>
      </c>
      <c r="P67" s="6">
        <f>Table1[[#This Row],[Gross sales]]-Table1[[#This Row],[Discount_Amount]]</f>
        <v>1890</v>
      </c>
      <c r="Q67" s="6" t="str">
        <f>TEXT(Table1[[#This Row],[Date]],"mmmm")</f>
        <v>May</v>
      </c>
      <c r="R67" s="9" t="str">
        <f>IF(OR(Table1[[#This Row],[Status]]="Pending",Table1[[#This Row],[Status]]="Refunded"),"Review","OK")</f>
        <v>OK</v>
      </c>
      <c r="S67" s="6" t="str">
        <f>IF(Table1[[#This Row],[Net_Sales]]&gt;25000,"Hgh",IF(Table1[[#This Row],[Net_Sales]]&gt;10000,"Medium","Low"))</f>
        <v>Low</v>
      </c>
      <c r="T67" s="6" t="b">
        <f>AND(Table1[[#This Row],[Quantity]]&gt;=5,Table1[[#This Row],[Discount_Rate]]&gt;=10%)</f>
        <v>0</v>
      </c>
      <c r="U67" s="6" t="b">
        <f>OR(Table1[[#This Row],[Payment_Method]]="UPI",Table1[[#This Row],[Payment_Method]]="Cash")</f>
        <v>0</v>
      </c>
      <c r="V67" s="6">
        <f>IFERROR(Table1[[#This Row],[Net_Sales]]/Table1[[#This Row],[Quantity]],"ERROR")</f>
        <v>630</v>
      </c>
      <c r="W67" s="6" t="str">
        <f>PROPER(TRIM(Table1[[#This Row],[Customer_Name]]))</f>
        <v>Nectar Store</v>
      </c>
      <c r="X67" s="6" t="str">
        <f>PROPER(TRIM(Table1[[#This Row],[Region]]))</f>
        <v>South</v>
      </c>
      <c r="Y67" s="6">
        <f>YEAR(Table1[[#This Row],[Date]])</f>
        <v>2026</v>
      </c>
      <c r="Z67" s="6">
        <f>MONTH(Table1[[#This Row],[Date]])</f>
        <v>5</v>
      </c>
      <c r="AA67" s="6" t="str">
        <f>MID(Table1[[#This Row],[Transaction_ID]],4,7)</f>
        <v>1067</v>
      </c>
      <c r="AB67" s="6" t="str">
        <f>_xlfn.CONCAT(Table1[[#This Row],[Region]],"-",Table1[[#This Row],[Category]])</f>
        <v>South-Fashion</v>
      </c>
    </row>
    <row r="68" spans="1:28" ht="15.75" customHeight="1">
      <c r="A68" s="10" t="s">
        <v>237</v>
      </c>
      <c r="B68" s="11">
        <v>46154</v>
      </c>
      <c r="C68" s="12" t="s">
        <v>31</v>
      </c>
      <c r="D68" s="12" t="s">
        <v>15</v>
      </c>
      <c r="E68" s="12" t="s">
        <v>238</v>
      </c>
      <c r="F68" s="12" t="s">
        <v>26</v>
      </c>
      <c r="G68" s="12" t="s">
        <v>239</v>
      </c>
      <c r="H68" s="12">
        <v>2</v>
      </c>
      <c r="I68" s="13">
        <v>2300</v>
      </c>
      <c r="J68" s="14">
        <v>0.05</v>
      </c>
      <c r="K68" s="12" t="s">
        <v>19</v>
      </c>
      <c r="L68" s="12" t="s">
        <v>20</v>
      </c>
      <c r="M68" s="12" t="s">
        <v>36</v>
      </c>
      <c r="N68" s="6">
        <f>Table1[[#This Row],[Quantity]]*Table1[[#This Row],[Unit_Price_INR]]</f>
        <v>4600</v>
      </c>
      <c r="O68" s="6">
        <f>Table1[[#This Row],[Gross sales]]*Table1[[#This Row],[Discount_Rate]]</f>
        <v>230</v>
      </c>
      <c r="P68" s="6">
        <f>Table1[[#This Row],[Gross sales]]-Table1[[#This Row],[Discount_Amount]]</f>
        <v>4370</v>
      </c>
      <c r="Q68" s="6" t="str">
        <f>TEXT(Table1[[#This Row],[Date]],"mmmm")</f>
        <v>May</v>
      </c>
      <c r="R68" s="9" t="str">
        <f>IF(OR(Table1[[#This Row],[Status]]="Pending",Table1[[#This Row],[Status]]="Refunded"),"Review","OK")</f>
        <v>OK</v>
      </c>
      <c r="S68" s="6" t="str">
        <f>IF(Table1[[#This Row],[Net_Sales]]&gt;25000,"Hgh",IF(Table1[[#This Row],[Net_Sales]]&gt;10000,"Medium","Low"))</f>
        <v>Low</v>
      </c>
      <c r="T68" s="6" t="b">
        <f>AND(Table1[[#This Row],[Quantity]]&gt;=5,Table1[[#This Row],[Discount_Rate]]&gt;=10%)</f>
        <v>0</v>
      </c>
      <c r="U68" s="6" t="b">
        <f>OR(Table1[[#This Row],[Payment_Method]]="UPI",Table1[[#This Row],[Payment_Method]]="Cash")</f>
        <v>1</v>
      </c>
      <c r="V68" s="6">
        <f>IFERROR(Table1[[#This Row],[Net_Sales]]/Table1[[#This Row],[Quantity]],"ERROR")</f>
        <v>2185</v>
      </c>
      <c r="W68" s="6" t="str">
        <f>PROPER(TRIM(Table1[[#This Row],[Customer_Name]]))</f>
        <v>Orchid Shop</v>
      </c>
      <c r="X68" s="6" t="str">
        <f>PROPER(TRIM(Table1[[#This Row],[Region]]))</f>
        <v>West</v>
      </c>
      <c r="Y68" s="6">
        <f>YEAR(Table1[[#This Row],[Date]])</f>
        <v>2026</v>
      </c>
      <c r="Z68" s="6">
        <f>MONTH(Table1[[#This Row],[Date]])</f>
        <v>5</v>
      </c>
      <c r="AA68" s="6" t="str">
        <f>MID(Table1[[#This Row],[Transaction_ID]],4,7)</f>
        <v>1068</v>
      </c>
      <c r="AB68" s="6" t="str">
        <f>_xlfn.CONCAT(Table1[[#This Row],[Region]],"-",Table1[[#This Row],[Category]])</f>
        <v>West-Home</v>
      </c>
    </row>
    <row r="69" spans="1:28" ht="15.75" customHeight="1">
      <c r="A69" s="4" t="s">
        <v>240</v>
      </c>
      <c r="B69" s="5">
        <v>46156</v>
      </c>
      <c r="C69" s="6" t="s">
        <v>38</v>
      </c>
      <c r="D69" s="6" t="s">
        <v>39</v>
      </c>
      <c r="E69" s="6" t="s">
        <v>241</v>
      </c>
      <c r="F69" s="6" t="s">
        <v>41</v>
      </c>
      <c r="G69" s="6" t="s">
        <v>242</v>
      </c>
      <c r="H69" s="6">
        <v>2</v>
      </c>
      <c r="I69" s="7">
        <v>5600</v>
      </c>
      <c r="J69" s="8">
        <v>7.0000000000000007E-2</v>
      </c>
      <c r="K69" s="6" t="s">
        <v>43</v>
      </c>
      <c r="L69" s="6" t="s">
        <v>20</v>
      </c>
      <c r="M69" s="6" t="s">
        <v>44</v>
      </c>
      <c r="N69" s="6">
        <f>Table1[[#This Row],[Quantity]]*Table1[[#This Row],[Unit_Price_INR]]</f>
        <v>11200</v>
      </c>
      <c r="O69" s="6">
        <f>Table1[[#This Row],[Gross sales]]*Table1[[#This Row],[Discount_Rate]]</f>
        <v>784.00000000000011</v>
      </c>
      <c r="P69" s="6">
        <f>Table1[[#This Row],[Gross sales]]-Table1[[#This Row],[Discount_Amount]]</f>
        <v>10416</v>
      </c>
      <c r="Q69" s="6" t="str">
        <f>TEXT(Table1[[#This Row],[Date]],"mmmm")</f>
        <v>May</v>
      </c>
      <c r="R69" s="9" t="str">
        <f>IF(OR(Table1[[#This Row],[Status]]="Pending",Table1[[#This Row],[Status]]="Refunded"),"Review","OK")</f>
        <v>OK</v>
      </c>
      <c r="S69" s="6" t="str">
        <f>IF(Table1[[#This Row],[Net_Sales]]&gt;25000,"Hgh",IF(Table1[[#This Row],[Net_Sales]]&gt;10000,"Medium","Low"))</f>
        <v>Medium</v>
      </c>
      <c r="T69" s="6" t="b">
        <f>AND(Table1[[#This Row],[Quantity]]&gt;=5,Table1[[#This Row],[Discount_Rate]]&gt;=10%)</f>
        <v>0</v>
      </c>
      <c r="U69" s="6" t="b">
        <f>OR(Table1[[#This Row],[Payment_Method]]="UPI",Table1[[#This Row],[Payment_Method]]="Cash")</f>
        <v>0</v>
      </c>
      <c r="V69" s="6">
        <f>IFERROR(Table1[[#This Row],[Net_Sales]]/Table1[[#This Row],[Quantity]],"ERROR")</f>
        <v>5208</v>
      </c>
      <c r="W69" s="6" t="str">
        <f>PROPER(TRIM(Table1[[#This Row],[Customer_Name]]))</f>
        <v>Pine Traders</v>
      </c>
      <c r="X69" s="6" t="str">
        <f>PROPER(TRIM(Table1[[#This Row],[Region]]))</f>
        <v>East</v>
      </c>
      <c r="Y69" s="6">
        <f>YEAR(Table1[[#This Row],[Date]])</f>
        <v>2026</v>
      </c>
      <c r="Z69" s="6">
        <f>MONTH(Table1[[#This Row],[Date]])</f>
        <v>5</v>
      </c>
      <c r="AA69" s="6" t="str">
        <f>MID(Table1[[#This Row],[Transaction_ID]],4,7)</f>
        <v>1069</v>
      </c>
      <c r="AB69" s="6" t="str">
        <f>_xlfn.CONCAT(Table1[[#This Row],[Region]],"-",Table1[[#This Row],[Category]])</f>
        <v>East-Office</v>
      </c>
    </row>
    <row r="70" spans="1:28" ht="15.75" customHeight="1">
      <c r="A70" s="10" t="s">
        <v>243</v>
      </c>
      <c r="B70" s="11">
        <v>46158</v>
      </c>
      <c r="C70" s="12" t="s">
        <v>14</v>
      </c>
      <c r="D70" s="12" t="s">
        <v>24</v>
      </c>
      <c r="E70" s="12" t="s">
        <v>244</v>
      </c>
      <c r="F70" s="12" t="s">
        <v>17</v>
      </c>
      <c r="G70" s="12" t="s">
        <v>245</v>
      </c>
      <c r="H70" s="12">
        <v>4</v>
      </c>
      <c r="I70" s="13">
        <v>3900</v>
      </c>
      <c r="J70" s="14">
        <v>0.06</v>
      </c>
      <c r="K70" s="12" t="s">
        <v>28</v>
      </c>
      <c r="L70" s="12" t="s">
        <v>20</v>
      </c>
      <c r="M70" s="12" t="s">
        <v>21</v>
      </c>
      <c r="N70" s="6">
        <f>Table1[[#This Row],[Quantity]]*Table1[[#This Row],[Unit_Price_INR]]</f>
        <v>15600</v>
      </c>
      <c r="O70" s="6">
        <f>Table1[[#This Row],[Gross sales]]*Table1[[#This Row],[Discount_Rate]]</f>
        <v>936</v>
      </c>
      <c r="P70" s="6">
        <f>Table1[[#This Row],[Gross sales]]-Table1[[#This Row],[Discount_Amount]]</f>
        <v>14664</v>
      </c>
      <c r="Q70" s="6" t="str">
        <f>TEXT(Table1[[#This Row],[Date]],"mmmm")</f>
        <v>May</v>
      </c>
      <c r="R70" s="9" t="str">
        <f>IF(OR(Table1[[#This Row],[Status]]="Pending",Table1[[#This Row],[Status]]="Refunded"),"Review","OK")</f>
        <v>OK</v>
      </c>
      <c r="S70" s="6" t="str">
        <f>IF(Table1[[#This Row],[Net_Sales]]&gt;25000,"Hgh",IF(Table1[[#This Row],[Net_Sales]]&gt;10000,"Medium","Low"))</f>
        <v>Medium</v>
      </c>
      <c r="T70" s="6" t="b">
        <f>AND(Table1[[#This Row],[Quantity]]&gt;=5,Table1[[#This Row],[Discount_Rate]]&gt;=10%)</f>
        <v>0</v>
      </c>
      <c r="U70" s="6" t="b">
        <f>OR(Table1[[#This Row],[Payment_Method]]="UPI",Table1[[#This Row],[Payment_Method]]="Cash")</f>
        <v>0</v>
      </c>
      <c r="V70" s="6">
        <f>IFERROR(Table1[[#This Row],[Net_Sales]]/Table1[[#This Row],[Quantity]],"ERROR")</f>
        <v>3666</v>
      </c>
      <c r="W70" s="6" t="str">
        <f>PROPER(TRIM(Table1[[#This Row],[Customer_Name]]))</f>
        <v>Quartz Retail</v>
      </c>
      <c r="X70" s="6" t="str">
        <f>PROPER(TRIM(Table1[[#This Row],[Region]]))</f>
        <v>North</v>
      </c>
      <c r="Y70" s="6">
        <f>YEAR(Table1[[#This Row],[Date]])</f>
        <v>2026</v>
      </c>
      <c r="Z70" s="6">
        <f>MONTH(Table1[[#This Row],[Date]])</f>
        <v>5</v>
      </c>
      <c r="AA70" s="6" t="str">
        <f>MID(Table1[[#This Row],[Transaction_ID]],4,7)</f>
        <v>1070</v>
      </c>
      <c r="AB70" s="6" t="str">
        <f>_xlfn.CONCAT(Table1[[#This Row],[Region]],"-",Table1[[#This Row],[Category]])</f>
        <v>North-Electronics</v>
      </c>
    </row>
    <row r="71" spans="1:28" ht="15.75" customHeight="1">
      <c r="A71" s="4" t="s">
        <v>246</v>
      </c>
      <c r="B71" s="5">
        <v>46160</v>
      </c>
      <c r="C71" s="6" t="s">
        <v>23</v>
      </c>
      <c r="D71" s="6" t="s">
        <v>15</v>
      </c>
      <c r="E71" s="6" t="s">
        <v>247</v>
      </c>
      <c r="F71" s="6" t="s">
        <v>33</v>
      </c>
      <c r="G71" s="6" t="s">
        <v>248</v>
      </c>
      <c r="H71" s="6">
        <v>9</v>
      </c>
      <c r="I71" s="7">
        <v>220</v>
      </c>
      <c r="J71" s="8">
        <v>0</v>
      </c>
      <c r="K71" s="6" t="s">
        <v>35</v>
      </c>
      <c r="L71" s="6" t="s">
        <v>20</v>
      </c>
      <c r="M71" s="6" t="s">
        <v>52</v>
      </c>
      <c r="N71" s="6">
        <f>Table1[[#This Row],[Quantity]]*Table1[[#This Row],[Unit_Price_INR]]</f>
        <v>1980</v>
      </c>
      <c r="O71" s="6">
        <f>Table1[[#This Row],[Gross sales]]*Table1[[#This Row],[Discount_Rate]]</f>
        <v>0</v>
      </c>
      <c r="P71" s="6">
        <f>Table1[[#This Row],[Gross sales]]-Table1[[#This Row],[Discount_Amount]]</f>
        <v>1980</v>
      </c>
      <c r="Q71" s="6" t="str">
        <f>TEXT(Table1[[#This Row],[Date]],"mmmm")</f>
        <v>May</v>
      </c>
      <c r="R71" s="9" t="str">
        <f>IF(OR(Table1[[#This Row],[Status]]="Pending",Table1[[#This Row],[Status]]="Refunded"),"Review","OK")</f>
        <v>OK</v>
      </c>
      <c r="S71" s="6" t="str">
        <f>IF(Table1[[#This Row],[Net_Sales]]&gt;25000,"Hgh",IF(Table1[[#This Row],[Net_Sales]]&gt;10000,"Medium","Low"))</f>
        <v>Low</v>
      </c>
      <c r="T71" s="6" t="b">
        <f>AND(Table1[[#This Row],[Quantity]]&gt;=5,Table1[[#This Row],[Discount_Rate]]&gt;=10%)</f>
        <v>0</v>
      </c>
      <c r="U71" s="6" t="b">
        <f>OR(Table1[[#This Row],[Payment_Method]]="UPI",Table1[[#This Row],[Payment_Method]]="Cash")</f>
        <v>1</v>
      </c>
      <c r="V71" s="6">
        <f>IFERROR(Table1[[#This Row],[Net_Sales]]/Table1[[#This Row],[Quantity]],"ERROR")</f>
        <v>220</v>
      </c>
      <c r="W71" s="6" t="str">
        <f>PROPER(TRIM(Table1[[#This Row],[Customer_Name]]))</f>
        <v>Rosewood Mart</v>
      </c>
      <c r="X71" s="6" t="str">
        <f>PROPER(TRIM(Table1[[#This Row],[Region]]))</f>
        <v>South</v>
      </c>
      <c r="Y71" s="6">
        <f>YEAR(Table1[[#This Row],[Date]])</f>
        <v>2026</v>
      </c>
      <c r="Z71" s="6">
        <f>MONTH(Table1[[#This Row],[Date]])</f>
        <v>5</v>
      </c>
      <c r="AA71" s="6" t="str">
        <f>MID(Table1[[#This Row],[Transaction_ID]],4,7)</f>
        <v>1071</v>
      </c>
      <c r="AB71" s="6" t="str">
        <f>_xlfn.CONCAT(Table1[[#This Row],[Region]],"-",Table1[[#This Row],[Category]])</f>
        <v>South-Grocery</v>
      </c>
    </row>
    <row r="72" spans="1:28" ht="15.75" customHeight="1">
      <c r="A72" s="10" t="s">
        <v>249</v>
      </c>
      <c r="B72" s="11">
        <v>46162</v>
      </c>
      <c r="C72" s="12" t="s">
        <v>31</v>
      </c>
      <c r="D72" s="12" t="s">
        <v>24</v>
      </c>
      <c r="E72" s="12" t="s">
        <v>250</v>
      </c>
      <c r="F72" s="12" t="s">
        <v>47</v>
      </c>
      <c r="G72" s="12" t="s">
        <v>251</v>
      </c>
      <c r="H72" s="12">
        <v>5</v>
      </c>
      <c r="I72" s="13">
        <v>1150</v>
      </c>
      <c r="J72" s="14">
        <v>0.08</v>
      </c>
      <c r="K72" s="12" t="s">
        <v>28</v>
      </c>
      <c r="L72" s="12" t="s">
        <v>20</v>
      </c>
      <c r="M72" s="12" t="s">
        <v>36</v>
      </c>
      <c r="N72" s="6">
        <f>Table1[[#This Row],[Quantity]]*Table1[[#This Row],[Unit_Price_INR]]</f>
        <v>5750</v>
      </c>
      <c r="O72" s="6">
        <f>Table1[[#This Row],[Gross sales]]*Table1[[#This Row],[Discount_Rate]]</f>
        <v>460</v>
      </c>
      <c r="P72" s="6">
        <f>Table1[[#This Row],[Gross sales]]-Table1[[#This Row],[Discount_Amount]]</f>
        <v>5290</v>
      </c>
      <c r="Q72" s="6" t="str">
        <f>TEXT(Table1[[#This Row],[Date]],"mmmm")</f>
        <v>May</v>
      </c>
      <c r="R72" s="9" t="str">
        <f>IF(OR(Table1[[#This Row],[Status]]="Pending",Table1[[#This Row],[Status]]="Refunded"),"Review","OK")</f>
        <v>OK</v>
      </c>
      <c r="S72" s="6" t="str">
        <f>IF(Table1[[#This Row],[Net_Sales]]&gt;25000,"Hgh",IF(Table1[[#This Row],[Net_Sales]]&gt;10000,"Medium","Low"))</f>
        <v>Low</v>
      </c>
      <c r="T72" s="6" t="b">
        <f>AND(Table1[[#This Row],[Quantity]]&gt;=5,Table1[[#This Row],[Discount_Rate]]&gt;=10%)</f>
        <v>0</v>
      </c>
      <c r="U72" s="6" t="b">
        <f>OR(Table1[[#This Row],[Payment_Method]]="UPI",Table1[[#This Row],[Payment_Method]]="Cash")</f>
        <v>0</v>
      </c>
      <c r="V72" s="6">
        <f>IFERROR(Table1[[#This Row],[Net_Sales]]/Table1[[#This Row],[Quantity]],"ERROR")</f>
        <v>1058</v>
      </c>
      <c r="W72" s="6" t="str">
        <f>PROPER(TRIM(Table1[[#This Row],[Customer_Name]]))</f>
        <v>Stonebridge Shop</v>
      </c>
      <c r="X72" s="6" t="str">
        <f>PROPER(TRIM(Table1[[#This Row],[Region]]))</f>
        <v>West</v>
      </c>
      <c r="Y72" s="6">
        <f>YEAR(Table1[[#This Row],[Date]])</f>
        <v>2026</v>
      </c>
      <c r="Z72" s="6">
        <f>MONTH(Table1[[#This Row],[Date]])</f>
        <v>5</v>
      </c>
      <c r="AA72" s="6" t="str">
        <f>MID(Table1[[#This Row],[Transaction_ID]],4,7)</f>
        <v>1072</v>
      </c>
      <c r="AB72" s="6" t="str">
        <f>_xlfn.CONCAT(Table1[[#This Row],[Region]],"-",Table1[[#This Row],[Category]])</f>
        <v>West-Fashion</v>
      </c>
    </row>
    <row r="73" spans="1:28" ht="15.75" customHeight="1">
      <c r="A73" s="4" t="s">
        <v>252</v>
      </c>
      <c r="B73" s="5">
        <v>46164</v>
      </c>
      <c r="C73" s="6" t="s">
        <v>38</v>
      </c>
      <c r="D73" s="6" t="s">
        <v>15</v>
      </c>
      <c r="E73" s="6" t="s">
        <v>253</v>
      </c>
      <c r="F73" s="6" t="s">
        <v>26</v>
      </c>
      <c r="G73" s="6" t="s">
        <v>254</v>
      </c>
      <c r="H73" s="6">
        <v>6</v>
      </c>
      <c r="I73" s="7">
        <v>890</v>
      </c>
      <c r="J73" s="8">
        <v>0.05</v>
      </c>
      <c r="K73" s="6" t="s">
        <v>19</v>
      </c>
      <c r="L73" s="6" t="s">
        <v>20</v>
      </c>
      <c r="M73" s="6" t="s">
        <v>44</v>
      </c>
      <c r="N73" s="6">
        <f>Table1[[#This Row],[Quantity]]*Table1[[#This Row],[Unit_Price_INR]]</f>
        <v>5340</v>
      </c>
      <c r="O73" s="6">
        <f>Table1[[#This Row],[Gross sales]]*Table1[[#This Row],[Discount_Rate]]</f>
        <v>267</v>
      </c>
      <c r="P73" s="6">
        <f>Table1[[#This Row],[Gross sales]]-Table1[[#This Row],[Discount_Amount]]</f>
        <v>5073</v>
      </c>
      <c r="Q73" s="6" t="str">
        <f>TEXT(Table1[[#This Row],[Date]],"mmmm")</f>
        <v>May</v>
      </c>
      <c r="R73" s="9" t="str">
        <f>IF(OR(Table1[[#This Row],[Status]]="Pending",Table1[[#This Row],[Status]]="Refunded"),"Review","OK")</f>
        <v>OK</v>
      </c>
      <c r="S73" s="6" t="str">
        <f>IF(Table1[[#This Row],[Net_Sales]]&gt;25000,"Hgh",IF(Table1[[#This Row],[Net_Sales]]&gt;10000,"Medium","Low"))</f>
        <v>Low</v>
      </c>
      <c r="T73" s="6" t="b">
        <f>AND(Table1[[#This Row],[Quantity]]&gt;=5,Table1[[#This Row],[Discount_Rate]]&gt;=10%)</f>
        <v>0</v>
      </c>
      <c r="U73" s="6" t="b">
        <f>OR(Table1[[#This Row],[Payment_Method]]="UPI",Table1[[#This Row],[Payment_Method]]="Cash")</f>
        <v>1</v>
      </c>
      <c r="V73" s="6">
        <f>IFERROR(Table1[[#This Row],[Net_Sales]]/Table1[[#This Row],[Quantity]],"ERROR")</f>
        <v>845.5</v>
      </c>
      <c r="W73" s="6" t="str">
        <f>PROPER(TRIM(Table1[[#This Row],[Customer_Name]]))</f>
        <v>Timber Store</v>
      </c>
      <c r="X73" s="6" t="str">
        <f>PROPER(TRIM(Table1[[#This Row],[Region]]))</f>
        <v>East</v>
      </c>
      <c r="Y73" s="6">
        <f>YEAR(Table1[[#This Row],[Date]])</f>
        <v>2026</v>
      </c>
      <c r="Z73" s="6">
        <f>MONTH(Table1[[#This Row],[Date]])</f>
        <v>5</v>
      </c>
      <c r="AA73" s="6" t="str">
        <f>MID(Table1[[#This Row],[Transaction_ID]],4,7)</f>
        <v>1073</v>
      </c>
      <c r="AB73" s="6" t="str">
        <f>_xlfn.CONCAT(Table1[[#This Row],[Region]],"-",Table1[[#This Row],[Category]])</f>
        <v>East-Home</v>
      </c>
    </row>
    <row r="74" spans="1:28" ht="15.75" customHeight="1">
      <c r="A74" s="10" t="s">
        <v>255</v>
      </c>
      <c r="B74" s="11">
        <v>46166</v>
      </c>
      <c r="C74" s="12" t="s">
        <v>14</v>
      </c>
      <c r="D74" s="12" t="s">
        <v>39</v>
      </c>
      <c r="E74" s="12" t="s">
        <v>256</v>
      </c>
      <c r="F74" s="12" t="s">
        <v>17</v>
      </c>
      <c r="G74" s="12" t="s">
        <v>257</v>
      </c>
      <c r="H74" s="12">
        <v>2</v>
      </c>
      <c r="I74" s="13">
        <v>12500</v>
      </c>
      <c r="J74" s="14">
        <v>0.1</v>
      </c>
      <c r="K74" s="12" t="s">
        <v>43</v>
      </c>
      <c r="L74" s="12" t="s">
        <v>20</v>
      </c>
      <c r="M74" s="12" t="s">
        <v>21</v>
      </c>
      <c r="N74" s="6">
        <f>Table1[[#This Row],[Quantity]]*Table1[[#This Row],[Unit_Price_INR]]</f>
        <v>25000</v>
      </c>
      <c r="O74" s="6">
        <f>Table1[[#This Row],[Gross sales]]*Table1[[#This Row],[Discount_Rate]]</f>
        <v>2500</v>
      </c>
      <c r="P74" s="6">
        <f>Table1[[#This Row],[Gross sales]]-Table1[[#This Row],[Discount_Amount]]</f>
        <v>22500</v>
      </c>
      <c r="Q74" s="6" t="str">
        <f>TEXT(Table1[[#This Row],[Date]],"mmmm")</f>
        <v>May</v>
      </c>
      <c r="R74" s="9" t="str">
        <f>IF(OR(Table1[[#This Row],[Status]]="Pending",Table1[[#This Row],[Status]]="Refunded"),"Review","OK")</f>
        <v>OK</v>
      </c>
      <c r="S74" s="6" t="str">
        <f>IF(Table1[[#This Row],[Net_Sales]]&gt;25000,"Hgh",IF(Table1[[#This Row],[Net_Sales]]&gt;10000,"Medium","Low"))</f>
        <v>Medium</v>
      </c>
      <c r="T74" s="6" t="b">
        <f>AND(Table1[[#This Row],[Quantity]]&gt;=5,Table1[[#This Row],[Discount_Rate]]&gt;=10%)</f>
        <v>0</v>
      </c>
      <c r="U74" s="6" t="b">
        <f>OR(Table1[[#This Row],[Payment_Method]]="UPI",Table1[[#This Row],[Payment_Method]]="Cash")</f>
        <v>0</v>
      </c>
      <c r="V74" s="6">
        <f>IFERROR(Table1[[#This Row],[Net_Sales]]/Table1[[#This Row],[Quantity]],"ERROR")</f>
        <v>11250</v>
      </c>
      <c r="W74" s="6" t="str">
        <f>PROPER(TRIM(Table1[[#This Row],[Customer_Name]]))</f>
        <v>Umber Distributors</v>
      </c>
      <c r="X74" s="6" t="str">
        <f>PROPER(TRIM(Table1[[#This Row],[Region]]))</f>
        <v>North</v>
      </c>
      <c r="Y74" s="6">
        <f>YEAR(Table1[[#This Row],[Date]])</f>
        <v>2026</v>
      </c>
      <c r="Z74" s="6">
        <f>MONTH(Table1[[#This Row],[Date]])</f>
        <v>5</v>
      </c>
      <c r="AA74" s="6" t="str">
        <f>MID(Table1[[#This Row],[Transaction_ID]],4,7)</f>
        <v>1074</v>
      </c>
      <c r="AB74" s="6" t="str">
        <f>_xlfn.CONCAT(Table1[[#This Row],[Region]],"-",Table1[[#This Row],[Category]])</f>
        <v>North-Electronics</v>
      </c>
    </row>
    <row r="75" spans="1:28" ht="15.75" customHeight="1">
      <c r="A75" s="4" t="s">
        <v>258</v>
      </c>
      <c r="B75" s="5">
        <v>46168</v>
      </c>
      <c r="C75" s="6" t="s">
        <v>23</v>
      </c>
      <c r="D75" s="6" t="s">
        <v>24</v>
      </c>
      <c r="E75" s="6" t="s">
        <v>259</v>
      </c>
      <c r="F75" s="6" t="s">
        <v>41</v>
      </c>
      <c r="G75" s="6" t="s">
        <v>260</v>
      </c>
      <c r="H75" s="6">
        <v>8</v>
      </c>
      <c r="I75" s="7">
        <v>950</v>
      </c>
      <c r="J75" s="8">
        <v>0.05</v>
      </c>
      <c r="K75" s="6" t="s">
        <v>28</v>
      </c>
      <c r="L75" s="6" t="s">
        <v>20</v>
      </c>
      <c r="M75" s="6" t="s">
        <v>52</v>
      </c>
      <c r="N75" s="6">
        <f>Table1[[#This Row],[Quantity]]*Table1[[#This Row],[Unit_Price_INR]]</f>
        <v>7600</v>
      </c>
      <c r="O75" s="6">
        <f>Table1[[#This Row],[Gross sales]]*Table1[[#This Row],[Discount_Rate]]</f>
        <v>380</v>
      </c>
      <c r="P75" s="6">
        <f>Table1[[#This Row],[Gross sales]]-Table1[[#This Row],[Discount_Amount]]</f>
        <v>7220</v>
      </c>
      <c r="Q75" s="6" t="str">
        <f>TEXT(Table1[[#This Row],[Date]],"mmmm")</f>
        <v>May</v>
      </c>
      <c r="R75" s="9" t="str">
        <f>IF(OR(Table1[[#This Row],[Status]]="Pending",Table1[[#This Row],[Status]]="Refunded"),"Review","OK")</f>
        <v>OK</v>
      </c>
      <c r="S75" s="6" t="str">
        <f>IF(Table1[[#This Row],[Net_Sales]]&gt;25000,"Hgh",IF(Table1[[#This Row],[Net_Sales]]&gt;10000,"Medium","Low"))</f>
        <v>Low</v>
      </c>
      <c r="T75" s="6" t="b">
        <f>AND(Table1[[#This Row],[Quantity]]&gt;=5,Table1[[#This Row],[Discount_Rate]]&gt;=10%)</f>
        <v>0</v>
      </c>
      <c r="U75" s="6" t="b">
        <f>OR(Table1[[#This Row],[Payment_Method]]="UPI",Table1[[#This Row],[Payment_Method]]="Cash")</f>
        <v>0</v>
      </c>
      <c r="V75" s="6">
        <f>IFERROR(Table1[[#This Row],[Net_Sales]]/Table1[[#This Row],[Quantity]],"ERROR")</f>
        <v>902.5</v>
      </c>
      <c r="W75" s="6" t="str">
        <f>PROPER(TRIM(Table1[[#This Row],[Customer_Name]]))</f>
        <v>Vale Shop</v>
      </c>
      <c r="X75" s="6" t="str">
        <f>PROPER(TRIM(Table1[[#This Row],[Region]]))</f>
        <v>South</v>
      </c>
      <c r="Y75" s="6">
        <f>YEAR(Table1[[#This Row],[Date]])</f>
        <v>2026</v>
      </c>
      <c r="Z75" s="6">
        <f>MONTH(Table1[[#This Row],[Date]])</f>
        <v>5</v>
      </c>
      <c r="AA75" s="6" t="str">
        <f>MID(Table1[[#This Row],[Transaction_ID]],4,7)</f>
        <v>1075</v>
      </c>
      <c r="AB75" s="6" t="str">
        <f>_xlfn.CONCAT(Table1[[#This Row],[Region]],"-",Table1[[#This Row],[Category]])</f>
        <v>South-Office</v>
      </c>
    </row>
    <row r="76" spans="1:28" ht="15.75" customHeight="1">
      <c r="A76" s="10" t="s">
        <v>261</v>
      </c>
      <c r="B76" s="11">
        <v>46170</v>
      </c>
      <c r="C76" s="12" t="s">
        <v>31</v>
      </c>
      <c r="D76" s="12" t="s">
        <v>15</v>
      </c>
      <c r="E76" s="12" t="s">
        <v>262</v>
      </c>
      <c r="F76" s="12" t="s">
        <v>33</v>
      </c>
      <c r="G76" s="12" t="s">
        <v>263</v>
      </c>
      <c r="H76" s="12">
        <v>11</v>
      </c>
      <c r="I76" s="13">
        <v>310</v>
      </c>
      <c r="J76" s="14">
        <v>0.02</v>
      </c>
      <c r="K76" s="12" t="s">
        <v>19</v>
      </c>
      <c r="L76" s="12" t="s">
        <v>20</v>
      </c>
      <c r="M76" s="12" t="s">
        <v>36</v>
      </c>
      <c r="N76" s="6">
        <f>Table1[[#This Row],[Quantity]]*Table1[[#This Row],[Unit_Price_INR]]</f>
        <v>3410</v>
      </c>
      <c r="O76" s="6">
        <f>Table1[[#This Row],[Gross sales]]*Table1[[#This Row],[Discount_Rate]]</f>
        <v>68.2</v>
      </c>
      <c r="P76" s="6">
        <f>Table1[[#This Row],[Gross sales]]-Table1[[#This Row],[Discount_Amount]]</f>
        <v>3341.8</v>
      </c>
      <c r="Q76" s="6" t="str">
        <f>TEXT(Table1[[#This Row],[Date]],"mmmm")</f>
        <v>May</v>
      </c>
      <c r="R76" s="9" t="str">
        <f>IF(OR(Table1[[#This Row],[Status]]="Pending",Table1[[#This Row],[Status]]="Refunded"),"Review","OK")</f>
        <v>OK</v>
      </c>
      <c r="S76" s="6" t="str">
        <f>IF(Table1[[#This Row],[Net_Sales]]&gt;25000,"Hgh",IF(Table1[[#This Row],[Net_Sales]]&gt;10000,"Medium","Low"))</f>
        <v>Low</v>
      </c>
      <c r="T76" s="6" t="b">
        <f>AND(Table1[[#This Row],[Quantity]]&gt;=5,Table1[[#This Row],[Discount_Rate]]&gt;=10%)</f>
        <v>0</v>
      </c>
      <c r="U76" s="6" t="b">
        <f>OR(Table1[[#This Row],[Payment_Method]]="UPI",Table1[[#This Row],[Payment_Method]]="Cash")</f>
        <v>1</v>
      </c>
      <c r="V76" s="6">
        <f>IFERROR(Table1[[#This Row],[Net_Sales]]/Table1[[#This Row],[Quantity]],"ERROR")</f>
        <v>303.8</v>
      </c>
      <c r="W76" s="6" t="str">
        <f>PROPER(TRIM(Table1[[#This Row],[Customer_Name]]))</f>
        <v>Willow Retail</v>
      </c>
      <c r="X76" s="6" t="str">
        <f>PROPER(TRIM(Table1[[#This Row],[Region]]))</f>
        <v>West</v>
      </c>
      <c r="Y76" s="6">
        <f>YEAR(Table1[[#This Row],[Date]])</f>
        <v>2026</v>
      </c>
      <c r="Z76" s="6">
        <f>MONTH(Table1[[#This Row],[Date]])</f>
        <v>5</v>
      </c>
      <c r="AA76" s="6" t="str">
        <f>MID(Table1[[#This Row],[Transaction_ID]],4,7)</f>
        <v>1076</v>
      </c>
      <c r="AB76" s="6" t="str">
        <f>_xlfn.CONCAT(Table1[[#This Row],[Region]],"-",Table1[[#This Row],[Category]])</f>
        <v>West-Grocery</v>
      </c>
    </row>
    <row r="77" spans="1:28" ht="15.75" customHeight="1">
      <c r="A77" s="4" t="s">
        <v>264</v>
      </c>
      <c r="B77" s="5">
        <v>46172</v>
      </c>
      <c r="C77" s="6" t="s">
        <v>38</v>
      </c>
      <c r="D77" s="6" t="s">
        <v>39</v>
      </c>
      <c r="E77" s="6" t="s">
        <v>265</v>
      </c>
      <c r="F77" s="6" t="s">
        <v>26</v>
      </c>
      <c r="G77" s="6" t="s">
        <v>266</v>
      </c>
      <c r="H77" s="6">
        <v>2</v>
      </c>
      <c r="I77" s="7">
        <v>4800</v>
      </c>
      <c r="J77" s="8">
        <v>0.06</v>
      </c>
      <c r="K77" s="6" t="s">
        <v>43</v>
      </c>
      <c r="L77" s="6" t="s">
        <v>20</v>
      </c>
      <c r="M77" s="6" t="s">
        <v>44</v>
      </c>
      <c r="N77" s="6">
        <f>Table1[[#This Row],[Quantity]]*Table1[[#This Row],[Unit_Price_INR]]</f>
        <v>9600</v>
      </c>
      <c r="O77" s="6">
        <f>Table1[[#This Row],[Gross sales]]*Table1[[#This Row],[Discount_Rate]]</f>
        <v>576</v>
      </c>
      <c r="P77" s="6">
        <f>Table1[[#This Row],[Gross sales]]-Table1[[#This Row],[Discount_Amount]]</f>
        <v>9024</v>
      </c>
      <c r="Q77" s="6" t="str">
        <f>TEXT(Table1[[#This Row],[Date]],"mmmm")</f>
        <v>May</v>
      </c>
      <c r="R77" s="9" t="str">
        <f>IF(OR(Table1[[#This Row],[Status]]="Pending",Table1[[#This Row],[Status]]="Refunded"),"Review","OK")</f>
        <v>OK</v>
      </c>
      <c r="S77" s="6" t="str">
        <f>IF(Table1[[#This Row],[Net_Sales]]&gt;25000,"Hgh",IF(Table1[[#This Row],[Net_Sales]]&gt;10000,"Medium","Low"))</f>
        <v>Low</v>
      </c>
      <c r="T77" s="6" t="b">
        <f>AND(Table1[[#This Row],[Quantity]]&gt;=5,Table1[[#This Row],[Discount_Rate]]&gt;=10%)</f>
        <v>0</v>
      </c>
      <c r="U77" s="6" t="b">
        <f>OR(Table1[[#This Row],[Payment_Method]]="UPI",Table1[[#This Row],[Payment_Method]]="Cash")</f>
        <v>0</v>
      </c>
      <c r="V77" s="6">
        <f>IFERROR(Table1[[#This Row],[Net_Sales]]/Table1[[#This Row],[Quantity]],"ERROR")</f>
        <v>4512</v>
      </c>
      <c r="W77" s="6" t="str">
        <f>PROPER(TRIM(Table1[[#This Row],[Customer_Name]]))</f>
        <v>Xylem Traders</v>
      </c>
      <c r="X77" s="6" t="str">
        <f>PROPER(TRIM(Table1[[#This Row],[Region]]))</f>
        <v>East</v>
      </c>
      <c r="Y77" s="6">
        <f>YEAR(Table1[[#This Row],[Date]])</f>
        <v>2026</v>
      </c>
      <c r="Z77" s="6">
        <f>MONTH(Table1[[#This Row],[Date]])</f>
        <v>5</v>
      </c>
      <c r="AA77" s="6" t="str">
        <f>MID(Table1[[#This Row],[Transaction_ID]],4,7)</f>
        <v>1077</v>
      </c>
      <c r="AB77" s="6" t="str">
        <f>_xlfn.CONCAT(Table1[[#This Row],[Region]],"-",Table1[[#This Row],[Category]])</f>
        <v>East-Home</v>
      </c>
    </row>
    <row r="78" spans="1:28" ht="15.75" customHeight="1"/>
    <row r="79" spans="1:28" ht="15.75" customHeight="1">
      <c r="H79">
        <f>SUM(Table1[Quantity])</f>
        <v>592</v>
      </c>
      <c r="P79">
        <f>SUM(Table1[Net_Sales])</f>
        <v>1594263.8</v>
      </c>
    </row>
    <row r="80" spans="1:2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conditionalFormatting sqref="A2:A77">
    <cfRule type="duplicateValues" dxfId="7" priority="3"/>
  </conditionalFormatting>
  <conditionalFormatting sqref="L1:L1048576">
    <cfRule type="containsText" dxfId="6" priority="1" operator="containsText" text="Pending">
      <formula>NOT(ISERROR(SEARCH("Pending",L1)))</formula>
    </cfRule>
  </conditionalFormatting>
  <conditionalFormatting sqref="P2:P77">
    <cfRule type="cellIs" dxfId="5" priority="2" operator="greaterThan">
      <formula>25000</formula>
    </cfRule>
  </conditionalFormatting>
  <dataValidations count="1">
    <dataValidation type="list" allowBlank="1" showInputMessage="1" showErrorMessage="1" error="Error" sqref="L1:L77 L79:L1048576" xr:uid="{1FD82029-6EDB-4AFA-9C0B-783C7EA332FB}">
      <formula1>"Completed,Pending,Refunded,Cancelled"</formula1>
    </dataValidation>
  </dataValidations>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9D69-42B8-43E1-936D-CC70D36DC404}">
  <dimension ref="A1:AB77"/>
  <sheetViews>
    <sheetView workbookViewId="0">
      <selection activeCell="D16" sqref="D16"/>
    </sheetView>
  </sheetViews>
  <sheetFormatPr defaultRowHeight="15"/>
  <cols>
    <col min="1" max="1" width="16.42578125" bestFit="1" customWidth="1"/>
    <col min="2" max="2" width="12.140625" bestFit="1" customWidth="1"/>
    <col min="3" max="3" width="12.28515625" customWidth="1"/>
    <col min="4" max="4" width="16" customWidth="1"/>
    <col min="5" max="5" width="19.28515625" customWidth="1"/>
    <col min="6" max="6" width="14" customWidth="1"/>
    <col min="7" max="7" width="19.28515625" customWidth="1"/>
    <col min="8" max="8" width="10.85546875" customWidth="1"/>
    <col min="9" max="9" width="16.5703125" customWidth="1"/>
    <col min="10" max="10" width="15.85546875" customWidth="1"/>
    <col min="11" max="11" width="19.140625" customWidth="1"/>
    <col min="12" max="12" width="12.28515625" customWidth="1"/>
    <col min="13" max="13" width="15" customWidth="1"/>
    <col min="14" max="16" width="12.5703125"/>
    <col min="17" max="17" width="21.42578125" customWidth="1"/>
    <col min="18" max="18" width="19.42578125" customWidth="1"/>
    <col min="19" max="19" width="28.28515625" customWidth="1"/>
    <col min="20" max="20" width="12.5703125"/>
    <col min="21" max="21" width="11" customWidth="1"/>
    <col min="22" max="22" width="12.5703125"/>
    <col min="23" max="24" width="24" customWidth="1"/>
    <col min="25" max="27" width="12.5703125"/>
    <col min="28" max="28" width="19.140625" customWidth="1"/>
  </cols>
  <sheetData>
    <row r="1" spans="1:28" ht="30">
      <c r="A1" s="1" t="s">
        <v>0</v>
      </c>
      <c r="B1" s="2" t="s">
        <v>1</v>
      </c>
      <c r="C1" s="2" t="s">
        <v>2</v>
      </c>
      <c r="D1" s="2" t="s">
        <v>3</v>
      </c>
      <c r="E1" s="2" t="s">
        <v>4</v>
      </c>
      <c r="F1" s="2" t="s">
        <v>5</v>
      </c>
      <c r="G1" s="2" t="s">
        <v>6</v>
      </c>
      <c r="H1" s="2" t="s">
        <v>7</v>
      </c>
      <c r="I1" s="2" t="s">
        <v>8</v>
      </c>
      <c r="J1" s="2" t="s">
        <v>9</v>
      </c>
      <c r="K1" s="2" t="s">
        <v>10</v>
      </c>
      <c r="L1" s="2" t="s">
        <v>11</v>
      </c>
      <c r="M1" s="2" t="s">
        <v>12</v>
      </c>
      <c r="N1" s="2" t="s">
        <v>278</v>
      </c>
      <c r="O1" s="2" t="s">
        <v>279</v>
      </c>
      <c r="P1" s="2" t="s">
        <v>280</v>
      </c>
      <c r="Q1" s="19" t="s">
        <v>281</v>
      </c>
      <c r="R1" s="3" t="s">
        <v>286</v>
      </c>
      <c r="S1" s="2" t="s">
        <v>287</v>
      </c>
      <c r="T1" s="2" t="s">
        <v>288</v>
      </c>
      <c r="U1" s="2" t="s">
        <v>289</v>
      </c>
      <c r="V1" s="2" t="s">
        <v>290</v>
      </c>
      <c r="W1" s="2" t="s">
        <v>276</v>
      </c>
      <c r="X1" s="2" t="s">
        <v>277</v>
      </c>
      <c r="Y1" s="2" t="s">
        <v>303</v>
      </c>
      <c r="Z1" s="2" t="s">
        <v>304</v>
      </c>
      <c r="AA1" s="19" t="s">
        <v>314</v>
      </c>
      <c r="AB1" s="2" t="s">
        <v>305</v>
      </c>
    </row>
    <row r="2" spans="1:28">
      <c r="A2" s="4" t="s">
        <v>13</v>
      </c>
      <c r="B2" s="5">
        <v>46025</v>
      </c>
      <c r="C2" s="6" t="s">
        <v>14</v>
      </c>
      <c r="D2" s="6" t="s">
        <v>15</v>
      </c>
      <c r="E2" s="6" t="s">
        <v>16</v>
      </c>
      <c r="F2" s="6" t="s">
        <v>17</v>
      </c>
      <c r="G2" s="6" t="s">
        <v>18</v>
      </c>
      <c r="H2" s="6">
        <v>2</v>
      </c>
      <c r="I2" s="7">
        <v>52000</v>
      </c>
      <c r="J2" s="8">
        <v>0.08</v>
      </c>
      <c r="K2" s="6" t="s">
        <v>19</v>
      </c>
      <c r="L2" s="6" t="s">
        <v>20</v>
      </c>
      <c r="M2" s="6" t="s">
        <v>21</v>
      </c>
      <c r="N2" s="6">
        <f>Table16[[#This Row],[Quantity]]*Table16[[#This Row],[Unit_Price_INR]]</f>
        <v>104000</v>
      </c>
      <c r="O2" s="6">
        <f>Table16[[#This Row],[Gross sales]]*Table16[[#This Row],[Discount_Rate]]</f>
        <v>8320</v>
      </c>
      <c r="P2" s="6">
        <f>Table16[[#This Row],[Gross sales]]-Table16[[#This Row],[Discount_Amount]]</f>
        <v>95680</v>
      </c>
      <c r="Q2" s="6" t="str">
        <f>TEXT(Table16[[#This Row],[Date]],"mmmm")</f>
        <v>January</v>
      </c>
      <c r="R2" s="9" t="str">
        <f>IF(OR(Table16[[#This Row],[Status]]="Pending",Table16[[#This Row],[Status]]="Refunded"),"Review","OK")</f>
        <v>OK</v>
      </c>
      <c r="S2" s="16" t="str">
        <f>IF(Table16[[#This Row],[Net_Sales]]&gt;25000,"Hgh",IF(Table16[[#This Row],[Net_Sales]]&gt;10000,"Medium","Low"))</f>
        <v>Hgh</v>
      </c>
      <c r="T2" s="16" t="b">
        <f>AND(Table16[[#This Row],[Quantity]]&gt;=5,Table16[[#This Row],[Discount_Rate]]&gt;=10%)</f>
        <v>0</v>
      </c>
      <c r="U2" s="16" t="b">
        <f>OR(Table16[[#This Row],[Payment_Method]]="UPI",Table16[[#This Row],[Payment_Method]]="Cash")</f>
        <v>1</v>
      </c>
      <c r="V2" s="16">
        <f>IFERROR(Table16[[#This Row],[Net_Sales]]/Table16[[#This Row],[Quantity]],"ERROR")</f>
        <v>47840</v>
      </c>
      <c r="W2" s="16" t="str">
        <f>PROPER(TRIM(Table16[[#This Row],[Customer_Name]]))</f>
        <v>Asha Stores</v>
      </c>
      <c r="X2" s="16" t="str">
        <f>PROPER(TRIM(Table16[[#This Row],[Region]]))</f>
        <v>North</v>
      </c>
      <c r="Y2" s="16">
        <f>YEAR(Table16[[#This Row],[Date]])</f>
        <v>2026</v>
      </c>
      <c r="Z2" s="16">
        <f>MONTH(Table16[[#This Row],[Date]])</f>
        <v>1</v>
      </c>
      <c r="AA2" s="16" t="str">
        <f>MID(Table16[[#This Row],[Transaction_ID]],4,7)</f>
        <v>1001</v>
      </c>
      <c r="AB2" s="16" t="str">
        <f>_xlfn.CONCAT(Table16[[#This Row],[Region]],"-",Table16[[#This Row],[Category]])</f>
        <v>North-Electronics</v>
      </c>
    </row>
    <row r="3" spans="1:28">
      <c r="A3" s="10" t="s">
        <v>22</v>
      </c>
      <c r="B3" s="11">
        <v>46026</v>
      </c>
      <c r="C3" s="12" t="s">
        <v>23</v>
      </c>
      <c r="D3" s="12" t="s">
        <v>24</v>
      </c>
      <c r="E3" s="12" t="s">
        <v>25</v>
      </c>
      <c r="F3" s="12" t="s">
        <v>26</v>
      </c>
      <c r="G3" s="12" t="s">
        <v>27</v>
      </c>
      <c r="H3" s="12">
        <v>3</v>
      </c>
      <c r="I3" s="13">
        <v>4200</v>
      </c>
      <c r="J3" s="14">
        <v>0.05</v>
      </c>
      <c r="K3" s="12" t="s">
        <v>28</v>
      </c>
      <c r="L3" s="12" t="s">
        <v>20</v>
      </c>
      <c r="M3" s="12" t="s">
        <v>29</v>
      </c>
      <c r="N3" s="6">
        <f>Table16[[#This Row],[Quantity]]*Table16[[#This Row],[Unit_Price_INR]]</f>
        <v>12600</v>
      </c>
      <c r="O3" s="6">
        <f>Table16[[#This Row],[Gross sales]]*Table16[[#This Row],[Discount_Rate]]</f>
        <v>630</v>
      </c>
      <c r="P3" s="6">
        <f>Table16[[#This Row],[Gross sales]]-Table16[[#This Row],[Discount_Amount]]</f>
        <v>11970</v>
      </c>
      <c r="Q3" s="6" t="str">
        <f>TEXT(Table16[[#This Row],[Date]],"mmmm")</f>
        <v>January</v>
      </c>
      <c r="R3" s="9" t="str">
        <f>IF(OR(Table16[[#This Row],[Status]]="Pending",Table16[[#This Row],[Status]]="Refunded"),"Review","OK")</f>
        <v>OK</v>
      </c>
      <c r="S3" s="6" t="str">
        <f>IF(Table16[[#This Row],[Net_Sales]]&gt;25000,"Hgh",IF(Table16[[#This Row],[Net_Sales]]&gt;10000,"Medium","Low"))</f>
        <v>Medium</v>
      </c>
      <c r="T3" s="6" t="b">
        <f>AND(Table16[[#This Row],[Quantity]]&gt;=5,Table16[[#This Row],[Discount_Rate]]&gt;=10%)</f>
        <v>0</v>
      </c>
      <c r="U3" s="6" t="b">
        <f>OR(Table16[[#This Row],[Payment_Method]]="UPI",Table16[[#This Row],[Payment_Method]]="Cash")</f>
        <v>0</v>
      </c>
      <c r="V3" s="6">
        <f>IFERROR(Table16[[#This Row],[Net_Sales]]/Table16[[#This Row],[Quantity]],"ERROR")</f>
        <v>3990</v>
      </c>
      <c r="W3" s="6" t="str">
        <f>PROPER(TRIM(Table16[[#This Row],[Customer_Name]]))</f>
        <v>Bright Mart</v>
      </c>
      <c r="X3" s="6" t="str">
        <f>PROPER(TRIM(Table16[[#This Row],[Region]]))</f>
        <v>South</v>
      </c>
      <c r="Y3" s="6">
        <f>YEAR(Table16[[#This Row],[Date]])</f>
        <v>2026</v>
      </c>
      <c r="Z3" s="6">
        <f>MONTH(Table16[[#This Row],[Date]])</f>
        <v>1</v>
      </c>
      <c r="AA3" s="6" t="str">
        <f>MID(Table16[[#This Row],[Transaction_ID]],4,7)</f>
        <v>1002</v>
      </c>
      <c r="AB3" s="6" t="str">
        <f>_xlfn.CONCAT(Table16[[#This Row],[Region]],"-",Table16[[#This Row],[Category]])</f>
        <v>South-Home</v>
      </c>
    </row>
    <row r="4" spans="1:28">
      <c r="A4" s="4" t="s">
        <v>30</v>
      </c>
      <c r="B4" s="5">
        <v>46027</v>
      </c>
      <c r="C4" s="6" t="s">
        <v>31</v>
      </c>
      <c r="D4" s="6" t="s">
        <v>15</v>
      </c>
      <c r="E4" s="6" t="s">
        <v>32</v>
      </c>
      <c r="F4" s="6" t="s">
        <v>33</v>
      </c>
      <c r="G4" s="6" t="s">
        <v>34</v>
      </c>
      <c r="H4" s="6">
        <v>10</v>
      </c>
      <c r="I4" s="7">
        <v>1250</v>
      </c>
      <c r="J4" s="8">
        <v>0</v>
      </c>
      <c r="K4" s="6" t="s">
        <v>35</v>
      </c>
      <c r="L4" s="6" t="s">
        <v>20</v>
      </c>
      <c r="M4" s="6" t="s">
        <v>36</v>
      </c>
      <c r="N4" s="6">
        <f>Table16[[#This Row],[Quantity]]*Table16[[#This Row],[Unit_Price_INR]]</f>
        <v>12500</v>
      </c>
      <c r="O4" s="6">
        <f>Table16[[#This Row],[Gross sales]]*Table16[[#This Row],[Discount_Rate]]</f>
        <v>0</v>
      </c>
      <c r="P4" s="6">
        <f>Table16[[#This Row],[Gross sales]]-Table16[[#This Row],[Discount_Amount]]</f>
        <v>12500</v>
      </c>
      <c r="Q4" s="6" t="str">
        <f>TEXT(Table16[[#This Row],[Date]],"mmmm")</f>
        <v>January</v>
      </c>
      <c r="R4" s="9" t="str">
        <f>IF(OR(Table16[[#This Row],[Status]]="Pending",Table16[[#This Row],[Status]]="Refunded"),"Review","OK")</f>
        <v>OK</v>
      </c>
      <c r="S4" s="6" t="str">
        <f>IF(Table16[[#This Row],[Net_Sales]]&gt;25000,"Hgh",IF(Table16[[#This Row],[Net_Sales]]&gt;10000,"Medium","Low"))</f>
        <v>Medium</v>
      </c>
      <c r="T4" s="6" t="b">
        <f>AND(Table16[[#This Row],[Quantity]]&gt;=5,Table16[[#This Row],[Discount_Rate]]&gt;=10%)</f>
        <v>0</v>
      </c>
      <c r="U4" s="6" t="b">
        <f>OR(Table16[[#This Row],[Payment_Method]]="UPI",Table16[[#This Row],[Payment_Method]]="Cash")</f>
        <v>1</v>
      </c>
      <c r="V4" s="6">
        <f>IFERROR(Table16[[#This Row],[Net_Sales]]/Table16[[#This Row],[Quantity]],"ERROR")</f>
        <v>1250</v>
      </c>
      <c r="W4" s="6" t="str">
        <f>PROPER(TRIM(Table16[[#This Row],[Customer_Name]]))</f>
        <v>City Bazaar</v>
      </c>
      <c r="X4" s="6" t="str">
        <f>PROPER(TRIM(Table16[[#This Row],[Region]]))</f>
        <v>West</v>
      </c>
      <c r="Y4" s="6">
        <f>YEAR(Table16[[#This Row],[Date]])</f>
        <v>2026</v>
      </c>
      <c r="Z4" s="6">
        <f>MONTH(Table16[[#This Row],[Date]])</f>
        <v>1</v>
      </c>
      <c r="AA4" s="6" t="str">
        <f>MID(Table16[[#This Row],[Transaction_ID]],4,7)</f>
        <v>1003</v>
      </c>
      <c r="AB4" s="6" t="str">
        <f>_xlfn.CONCAT(Table16[[#This Row],[Region]],"-",Table16[[#This Row],[Category]])</f>
        <v>West-Grocery</v>
      </c>
    </row>
    <row r="5" spans="1:28">
      <c r="A5" s="10" t="s">
        <v>37</v>
      </c>
      <c r="B5" s="11">
        <v>46028</v>
      </c>
      <c r="C5" s="12" t="s">
        <v>38</v>
      </c>
      <c r="D5" s="12" t="s">
        <v>39</v>
      </c>
      <c r="E5" s="12" t="s">
        <v>40</v>
      </c>
      <c r="F5" s="12" t="s">
        <v>41</v>
      </c>
      <c r="G5" s="12" t="s">
        <v>42</v>
      </c>
      <c r="H5" s="12">
        <v>4</v>
      </c>
      <c r="I5" s="13">
        <v>18500</v>
      </c>
      <c r="J5" s="14">
        <v>0.1</v>
      </c>
      <c r="K5" s="12" t="s">
        <v>43</v>
      </c>
      <c r="L5" s="12" t="s">
        <v>20</v>
      </c>
      <c r="M5" s="12" t="s">
        <v>44</v>
      </c>
      <c r="N5" s="6">
        <f>Table16[[#This Row],[Quantity]]*Table16[[#This Row],[Unit_Price_INR]]</f>
        <v>74000</v>
      </c>
      <c r="O5" s="6">
        <f>Table16[[#This Row],[Gross sales]]*Table16[[#This Row],[Discount_Rate]]</f>
        <v>7400</v>
      </c>
      <c r="P5" s="6">
        <f>Table16[[#This Row],[Gross sales]]-Table16[[#This Row],[Discount_Amount]]</f>
        <v>66600</v>
      </c>
      <c r="Q5" s="6" t="str">
        <f>TEXT(Table16[[#This Row],[Date]],"mmmm")</f>
        <v>January</v>
      </c>
      <c r="R5" s="9" t="str">
        <f>IF(OR(Table16[[#This Row],[Status]]="Pending",Table16[[#This Row],[Status]]="Refunded"),"Review","OK")</f>
        <v>OK</v>
      </c>
      <c r="S5" s="6" t="str">
        <f>IF(Table16[[#This Row],[Net_Sales]]&gt;25000,"Hgh",IF(Table16[[#This Row],[Net_Sales]]&gt;10000,"Medium","Low"))</f>
        <v>Hgh</v>
      </c>
      <c r="T5" s="6" t="b">
        <f>AND(Table16[[#This Row],[Quantity]]&gt;=5,Table16[[#This Row],[Discount_Rate]]&gt;=10%)</f>
        <v>0</v>
      </c>
      <c r="U5" s="6" t="b">
        <f>OR(Table16[[#This Row],[Payment_Method]]="UPI",Table16[[#This Row],[Payment_Method]]="Cash")</f>
        <v>0</v>
      </c>
      <c r="V5" s="6">
        <f>IFERROR(Table16[[#This Row],[Net_Sales]]/Table16[[#This Row],[Quantity]],"ERROR")</f>
        <v>16650</v>
      </c>
      <c r="W5" s="6" t="str">
        <f>PROPER(TRIM(Table16[[#This Row],[Customer_Name]]))</f>
        <v>Delta Traders</v>
      </c>
      <c r="X5" s="6" t="str">
        <f>PROPER(TRIM(Table16[[#This Row],[Region]]))</f>
        <v>East</v>
      </c>
      <c r="Y5" s="6">
        <f>YEAR(Table16[[#This Row],[Date]])</f>
        <v>2026</v>
      </c>
      <c r="Z5" s="6">
        <f>MONTH(Table16[[#This Row],[Date]])</f>
        <v>1</v>
      </c>
      <c r="AA5" s="6" t="str">
        <f>MID(Table16[[#This Row],[Transaction_ID]],4,7)</f>
        <v>1004</v>
      </c>
      <c r="AB5" s="6" t="str">
        <f>_xlfn.CONCAT(Table16[[#This Row],[Region]],"-",Table16[[#This Row],[Category]])</f>
        <v>East-Office</v>
      </c>
    </row>
    <row r="6" spans="1:28">
      <c r="A6" s="4" t="s">
        <v>45</v>
      </c>
      <c r="B6" s="5">
        <v>46029</v>
      </c>
      <c r="C6" s="6" t="s">
        <v>14</v>
      </c>
      <c r="D6" s="6" t="s">
        <v>24</v>
      </c>
      <c r="E6" s="6" t="s">
        <v>46</v>
      </c>
      <c r="F6" s="6" t="s">
        <v>47</v>
      </c>
      <c r="G6" s="6" t="s">
        <v>48</v>
      </c>
      <c r="H6" s="6">
        <v>5</v>
      </c>
      <c r="I6" s="7">
        <v>2400</v>
      </c>
      <c r="J6" s="8">
        <v>0.15</v>
      </c>
      <c r="K6" s="6" t="s">
        <v>28</v>
      </c>
      <c r="L6" s="6" t="s">
        <v>20</v>
      </c>
      <c r="M6" s="6" t="s">
        <v>21</v>
      </c>
      <c r="N6" s="6">
        <f>Table16[[#This Row],[Quantity]]*Table16[[#This Row],[Unit_Price_INR]]</f>
        <v>12000</v>
      </c>
      <c r="O6" s="6">
        <f>Table16[[#This Row],[Gross sales]]*Table16[[#This Row],[Discount_Rate]]</f>
        <v>1800</v>
      </c>
      <c r="P6" s="6">
        <f>Table16[[#This Row],[Gross sales]]-Table16[[#This Row],[Discount_Amount]]</f>
        <v>10200</v>
      </c>
      <c r="Q6" s="6" t="str">
        <f>TEXT(Table16[[#This Row],[Date]],"mmmm")</f>
        <v>January</v>
      </c>
      <c r="R6" s="9" t="str">
        <f>IF(OR(Table16[[#This Row],[Status]]="Pending",Table16[[#This Row],[Status]]="Refunded"),"Review","OK")</f>
        <v>OK</v>
      </c>
      <c r="S6" s="6" t="str">
        <f>IF(Table16[[#This Row],[Net_Sales]]&gt;25000,"Hgh",IF(Table16[[#This Row],[Net_Sales]]&gt;10000,"Medium","Low"))</f>
        <v>Medium</v>
      </c>
      <c r="T6" s="6" t="b">
        <f>AND(Table16[[#This Row],[Quantity]]&gt;=5,Table16[[#This Row],[Discount_Rate]]&gt;=10%)</f>
        <v>1</v>
      </c>
      <c r="U6" s="6" t="b">
        <f>OR(Table16[[#This Row],[Payment_Method]]="UPI",Table16[[#This Row],[Payment_Method]]="Cash")</f>
        <v>0</v>
      </c>
      <c r="V6" s="6">
        <f>IFERROR(Table16[[#This Row],[Net_Sales]]/Table16[[#This Row],[Quantity]],"ERROR")</f>
        <v>2040</v>
      </c>
      <c r="W6" s="6" t="str">
        <f>PROPER(TRIM(Table16[[#This Row],[Customer_Name]]))</f>
        <v>Evergreen Shop</v>
      </c>
      <c r="X6" s="6" t="str">
        <f>PROPER(TRIM(Table16[[#This Row],[Region]]))</f>
        <v>North</v>
      </c>
      <c r="Y6" s="6">
        <f>YEAR(Table16[[#This Row],[Date]])</f>
        <v>2026</v>
      </c>
      <c r="Z6" s="6">
        <f>MONTH(Table16[[#This Row],[Date]])</f>
        <v>1</v>
      </c>
      <c r="AA6" s="6" t="str">
        <f>MID(Table16[[#This Row],[Transaction_ID]],4,7)</f>
        <v>1005</v>
      </c>
      <c r="AB6" s="6" t="str">
        <f>_xlfn.CONCAT(Table16[[#This Row],[Region]],"-",Table16[[#This Row],[Category]])</f>
        <v>North-Fashion</v>
      </c>
    </row>
    <row r="7" spans="1:28" hidden="1">
      <c r="A7" s="10" t="s">
        <v>49</v>
      </c>
      <c r="B7" s="11">
        <v>46031</v>
      </c>
      <c r="C7" s="12" t="s">
        <v>23</v>
      </c>
      <c r="D7" s="12" t="s">
        <v>15</v>
      </c>
      <c r="E7" s="12" t="s">
        <v>50</v>
      </c>
      <c r="F7" s="12" t="s">
        <v>33</v>
      </c>
      <c r="G7" s="12" t="s">
        <v>51</v>
      </c>
      <c r="H7" s="12">
        <v>12</v>
      </c>
      <c r="I7" s="13">
        <v>185</v>
      </c>
      <c r="J7" s="14">
        <v>0.03</v>
      </c>
      <c r="K7" s="12" t="s">
        <v>19</v>
      </c>
      <c r="L7" s="12" t="s">
        <v>20</v>
      </c>
      <c r="M7" s="12" t="s">
        <v>52</v>
      </c>
      <c r="N7" s="6">
        <f>Table16[[#This Row],[Quantity]]*Table16[[#This Row],[Unit_Price_INR]]</f>
        <v>2220</v>
      </c>
      <c r="O7" s="6">
        <f>Table16[[#This Row],[Gross sales]]*Table16[[#This Row],[Discount_Rate]]</f>
        <v>66.599999999999994</v>
      </c>
      <c r="P7" s="6">
        <f>Table16[[#This Row],[Gross sales]]-Table16[[#This Row],[Discount_Amount]]</f>
        <v>2153.4</v>
      </c>
      <c r="Q7" s="6" t="str">
        <f>TEXT(Table16[[#This Row],[Date]],"mmmm")</f>
        <v>January</v>
      </c>
      <c r="R7" s="9" t="str">
        <f>IF(OR(Table16[[#This Row],[Status]]="Pending",Table16[[#This Row],[Status]]="Refunded"),"Review","OK")</f>
        <v>OK</v>
      </c>
      <c r="S7" s="6" t="str">
        <f>IF(Table16[[#This Row],[Net_Sales]]&gt;25000,"Hgh",IF(Table16[[#This Row],[Net_Sales]]&gt;10000,"Medium","Low"))</f>
        <v>Low</v>
      </c>
      <c r="T7" s="6" t="b">
        <f>AND(Table16[[#This Row],[Quantity]]&gt;=5,Table16[[#This Row],[Discount_Rate]]&gt;=10%)</f>
        <v>0</v>
      </c>
      <c r="U7" s="6" t="b">
        <f>OR(Table16[[#This Row],[Payment_Method]]="UPI",Table16[[#This Row],[Payment_Method]]="Cash")</f>
        <v>1</v>
      </c>
      <c r="V7" s="6">
        <f>IFERROR(Table16[[#This Row],[Net_Sales]]/Table16[[#This Row],[Quantity]],"ERROR")</f>
        <v>179.45000000000002</v>
      </c>
      <c r="W7" s="6" t="str">
        <f>PROPER(TRIM(Table16[[#This Row],[Customer_Name]]))</f>
        <v>Fresh Basket</v>
      </c>
      <c r="X7" s="6" t="str">
        <f>PROPER(TRIM(Table16[[#This Row],[Region]]))</f>
        <v>South</v>
      </c>
      <c r="Y7" s="6">
        <f>YEAR(Table16[[#This Row],[Date]])</f>
        <v>2026</v>
      </c>
      <c r="Z7" s="6">
        <f>MONTH(Table16[[#This Row],[Date]])</f>
        <v>1</v>
      </c>
      <c r="AA7" s="6" t="str">
        <f>MID(Table16[[#This Row],[Transaction_ID]],4,7)</f>
        <v>1006</v>
      </c>
      <c r="AB7" s="6" t="str">
        <f>_xlfn.CONCAT(Table16[[#This Row],[Region]],"-",Table16[[#This Row],[Category]])</f>
        <v>South-Grocery</v>
      </c>
    </row>
    <row r="8" spans="1:28" hidden="1">
      <c r="A8" s="4" t="s">
        <v>53</v>
      </c>
      <c r="B8" s="5">
        <v>46032</v>
      </c>
      <c r="C8" s="6" t="s">
        <v>31</v>
      </c>
      <c r="D8" s="6" t="s">
        <v>24</v>
      </c>
      <c r="E8" s="6" t="s">
        <v>54</v>
      </c>
      <c r="F8" s="6" t="s">
        <v>17</v>
      </c>
      <c r="G8" s="6" t="s">
        <v>55</v>
      </c>
      <c r="H8" s="6">
        <v>8</v>
      </c>
      <c r="I8" s="7">
        <v>1800</v>
      </c>
      <c r="J8" s="8">
        <v>0.12</v>
      </c>
      <c r="K8" s="6" t="s">
        <v>28</v>
      </c>
      <c r="L8" s="6" t="s">
        <v>56</v>
      </c>
      <c r="M8" s="6" t="s">
        <v>36</v>
      </c>
      <c r="N8" s="6">
        <f>Table16[[#This Row],[Quantity]]*Table16[[#This Row],[Unit_Price_INR]]</f>
        <v>14400</v>
      </c>
      <c r="O8" s="6">
        <f>Table16[[#This Row],[Gross sales]]*Table16[[#This Row],[Discount_Rate]]</f>
        <v>1728</v>
      </c>
      <c r="P8" s="6">
        <f>Table16[[#This Row],[Gross sales]]-Table16[[#This Row],[Discount_Amount]]</f>
        <v>12672</v>
      </c>
      <c r="Q8" s="6" t="str">
        <f>TEXT(Table16[[#This Row],[Date]],"mmmm")</f>
        <v>January</v>
      </c>
      <c r="R8" s="9" t="str">
        <f>IF(OR(Table16[[#This Row],[Status]]="Pending",Table16[[#This Row],[Status]]="Refunded"),"Review","OK")</f>
        <v>Review</v>
      </c>
      <c r="S8" s="6" t="str">
        <f>IF(Table16[[#This Row],[Net_Sales]]&gt;25000,"Hgh",IF(Table16[[#This Row],[Net_Sales]]&gt;10000,"Medium","Low"))</f>
        <v>Medium</v>
      </c>
      <c r="T8" s="6" t="b">
        <f>AND(Table16[[#This Row],[Quantity]]&gt;=5,Table16[[#This Row],[Discount_Rate]]&gt;=10%)</f>
        <v>1</v>
      </c>
      <c r="U8" s="6" t="b">
        <f>OR(Table16[[#This Row],[Payment_Method]]="UPI",Table16[[#This Row],[Payment_Method]]="Cash")</f>
        <v>0</v>
      </c>
      <c r="V8" s="6">
        <f>IFERROR(Table16[[#This Row],[Net_Sales]]/Table16[[#This Row],[Quantity]],"ERROR")</f>
        <v>1584</v>
      </c>
      <c r="W8" s="6" t="str">
        <f>PROPER(TRIM(Table16[[#This Row],[Customer_Name]]))</f>
        <v>Global Needs</v>
      </c>
      <c r="X8" s="6" t="str">
        <f>PROPER(TRIM(Table16[[#This Row],[Region]]))</f>
        <v>West</v>
      </c>
      <c r="Y8" s="6">
        <f>YEAR(Table16[[#This Row],[Date]])</f>
        <v>2026</v>
      </c>
      <c r="Z8" s="6">
        <f>MONTH(Table16[[#This Row],[Date]])</f>
        <v>1</v>
      </c>
      <c r="AA8" s="6" t="str">
        <f>MID(Table16[[#This Row],[Transaction_ID]],4,7)</f>
        <v>1007</v>
      </c>
      <c r="AB8" s="6" t="str">
        <f>_xlfn.CONCAT(Table16[[#This Row],[Region]],"-",Table16[[#This Row],[Category]])</f>
        <v>West-Electronics</v>
      </c>
    </row>
    <row r="9" spans="1:28">
      <c r="A9" s="10" t="s">
        <v>57</v>
      </c>
      <c r="B9" s="11">
        <v>46033</v>
      </c>
      <c r="C9" s="12" t="s">
        <v>38</v>
      </c>
      <c r="D9" s="12" t="s">
        <v>15</v>
      </c>
      <c r="E9" s="12" t="s">
        <v>58</v>
      </c>
      <c r="F9" s="12" t="s">
        <v>41</v>
      </c>
      <c r="G9" s="12" t="s">
        <v>59</v>
      </c>
      <c r="H9" s="12">
        <v>3</v>
      </c>
      <c r="I9" s="13">
        <v>7800</v>
      </c>
      <c r="J9" s="14">
        <v>7.0000000000000007E-2</v>
      </c>
      <c r="K9" s="12" t="s">
        <v>43</v>
      </c>
      <c r="L9" s="12" t="s">
        <v>20</v>
      </c>
      <c r="M9" s="12" t="s">
        <v>44</v>
      </c>
      <c r="N9" s="6">
        <f>Table16[[#This Row],[Quantity]]*Table16[[#This Row],[Unit_Price_INR]]</f>
        <v>23400</v>
      </c>
      <c r="O9" s="6">
        <f>Table16[[#This Row],[Gross sales]]*Table16[[#This Row],[Discount_Rate]]</f>
        <v>1638.0000000000002</v>
      </c>
      <c r="P9" s="6">
        <f>Table16[[#This Row],[Gross sales]]-Table16[[#This Row],[Discount_Amount]]</f>
        <v>21762</v>
      </c>
      <c r="Q9" s="6" t="str">
        <f>TEXT(Table16[[#This Row],[Date]],"mmmm")</f>
        <v>January</v>
      </c>
      <c r="R9" s="9" t="str">
        <f>IF(OR(Table16[[#This Row],[Status]]="Pending",Table16[[#This Row],[Status]]="Refunded"),"Review","OK")</f>
        <v>OK</v>
      </c>
      <c r="S9" s="6" t="str">
        <f>IF(Table16[[#This Row],[Net_Sales]]&gt;25000,"Hgh",IF(Table16[[#This Row],[Net_Sales]]&gt;10000,"Medium","Low"))</f>
        <v>Medium</v>
      </c>
      <c r="T9" s="6" t="b">
        <f>AND(Table16[[#This Row],[Quantity]]&gt;=5,Table16[[#This Row],[Discount_Rate]]&gt;=10%)</f>
        <v>0</v>
      </c>
      <c r="U9" s="6" t="b">
        <f>OR(Table16[[#This Row],[Payment_Method]]="UPI",Table16[[#This Row],[Payment_Method]]="Cash")</f>
        <v>0</v>
      </c>
      <c r="V9" s="6">
        <f>IFERROR(Table16[[#This Row],[Net_Sales]]/Table16[[#This Row],[Quantity]],"ERROR")</f>
        <v>7254</v>
      </c>
      <c r="W9" s="6" t="str">
        <f>PROPER(TRIM(Table16[[#This Row],[Customer_Name]]))</f>
        <v>Harbor Supplies</v>
      </c>
      <c r="X9" s="6" t="str">
        <f>PROPER(TRIM(Table16[[#This Row],[Region]]))</f>
        <v>East</v>
      </c>
      <c r="Y9" s="6">
        <f>YEAR(Table16[[#This Row],[Date]])</f>
        <v>2026</v>
      </c>
      <c r="Z9" s="6">
        <f>MONTH(Table16[[#This Row],[Date]])</f>
        <v>1</v>
      </c>
      <c r="AA9" s="6" t="str">
        <f>MID(Table16[[#This Row],[Transaction_ID]],4,7)</f>
        <v>1008</v>
      </c>
      <c r="AB9" s="6" t="str">
        <f>_xlfn.CONCAT(Table16[[#This Row],[Region]],"-",Table16[[#This Row],[Category]])</f>
        <v>East-Office</v>
      </c>
    </row>
    <row r="10" spans="1:28">
      <c r="A10" s="4" t="s">
        <v>60</v>
      </c>
      <c r="B10" s="5">
        <v>46034</v>
      </c>
      <c r="C10" s="6" t="s">
        <v>14</v>
      </c>
      <c r="D10" s="6" t="s">
        <v>39</v>
      </c>
      <c r="E10" s="6" t="s">
        <v>61</v>
      </c>
      <c r="F10" s="6" t="s">
        <v>26</v>
      </c>
      <c r="G10" s="6" t="s">
        <v>62</v>
      </c>
      <c r="H10" s="6">
        <v>2</v>
      </c>
      <c r="I10" s="7">
        <v>14500</v>
      </c>
      <c r="J10" s="8">
        <v>0.05</v>
      </c>
      <c r="K10" s="6" t="s">
        <v>43</v>
      </c>
      <c r="L10" s="6" t="s">
        <v>20</v>
      </c>
      <c r="M10" s="6" t="s">
        <v>29</v>
      </c>
      <c r="N10" s="6">
        <f>Table16[[#This Row],[Quantity]]*Table16[[#This Row],[Unit_Price_INR]]</f>
        <v>29000</v>
      </c>
      <c r="O10" s="6">
        <f>Table16[[#This Row],[Gross sales]]*Table16[[#This Row],[Discount_Rate]]</f>
        <v>1450</v>
      </c>
      <c r="P10" s="6">
        <f>Table16[[#This Row],[Gross sales]]-Table16[[#This Row],[Discount_Amount]]</f>
        <v>27550</v>
      </c>
      <c r="Q10" s="6" t="str">
        <f>TEXT(Table16[[#This Row],[Date]],"mmmm")</f>
        <v>January</v>
      </c>
      <c r="R10" s="9" t="str">
        <f>IF(OR(Table16[[#This Row],[Status]]="Pending",Table16[[#This Row],[Status]]="Refunded"),"Review","OK")</f>
        <v>OK</v>
      </c>
      <c r="S10" s="6" t="str">
        <f>IF(Table16[[#This Row],[Net_Sales]]&gt;25000,"Hgh",IF(Table16[[#This Row],[Net_Sales]]&gt;10000,"Medium","Low"))</f>
        <v>Hgh</v>
      </c>
      <c r="T10" s="6" t="b">
        <f>AND(Table16[[#This Row],[Quantity]]&gt;=5,Table16[[#This Row],[Discount_Rate]]&gt;=10%)</f>
        <v>0</v>
      </c>
      <c r="U10" s="6" t="b">
        <f>OR(Table16[[#This Row],[Payment_Method]]="UPI",Table16[[#This Row],[Payment_Method]]="Cash")</f>
        <v>0</v>
      </c>
      <c r="V10" s="6">
        <f>IFERROR(Table16[[#This Row],[Net_Sales]]/Table16[[#This Row],[Quantity]],"ERROR")</f>
        <v>13775</v>
      </c>
      <c r="W10" s="6" t="str">
        <f>PROPER(TRIM(Table16[[#This Row],[Customer_Name]]))</f>
        <v>Indigo Retailers</v>
      </c>
      <c r="X10" s="6" t="str">
        <f>PROPER(TRIM(Table16[[#This Row],[Region]]))</f>
        <v>North</v>
      </c>
      <c r="Y10" s="6">
        <f>YEAR(Table16[[#This Row],[Date]])</f>
        <v>2026</v>
      </c>
      <c r="Z10" s="6">
        <f>MONTH(Table16[[#This Row],[Date]])</f>
        <v>1</v>
      </c>
      <c r="AA10" s="6" t="str">
        <f>MID(Table16[[#This Row],[Transaction_ID]],4,7)</f>
        <v>1009</v>
      </c>
      <c r="AB10" s="6" t="str">
        <f>_xlfn.CONCAT(Table16[[#This Row],[Region]],"-",Table16[[#This Row],[Category]])</f>
        <v>North-Home</v>
      </c>
    </row>
    <row r="11" spans="1:28" hidden="1">
      <c r="A11" s="10" t="s">
        <v>63</v>
      </c>
      <c r="B11" s="11">
        <v>46036</v>
      </c>
      <c r="C11" s="12" t="s">
        <v>23</v>
      </c>
      <c r="D11" s="12" t="s">
        <v>24</v>
      </c>
      <c r="E11" s="12" t="s">
        <v>64</v>
      </c>
      <c r="F11" s="12" t="s">
        <v>47</v>
      </c>
      <c r="G11" s="12" t="s">
        <v>65</v>
      </c>
      <c r="H11" s="12">
        <v>6</v>
      </c>
      <c r="I11" s="13">
        <v>3200</v>
      </c>
      <c r="J11" s="14">
        <v>0.2</v>
      </c>
      <c r="K11" s="12" t="s">
        <v>19</v>
      </c>
      <c r="L11" s="12" t="s">
        <v>66</v>
      </c>
      <c r="M11" s="12" t="s">
        <v>52</v>
      </c>
      <c r="N11" s="6">
        <f>Table16[[#This Row],[Quantity]]*Table16[[#This Row],[Unit_Price_INR]]</f>
        <v>19200</v>
      </c>
      <c r="O11" s="6">
        <f>Table16[[#This Row],[Gross sales]]*Table16[[#This Row],[Discount_Rate]]</f>
        <v>3840</v>
      </c>
      <c r="P11" s="6">
        <f>Table16[[#This Row],[Gross sales]]-Table16[[#This Row],[Discount_Amount]]</f>
        <v>15360</v>
      </c>
      <c r="Q11" s="6" t="str">
        <f>TEXT(Table16[[#This Row],[Date]],"mmmm")</f>
        <v>January</v>
      </c>
      <c r="R11" s="9" t="str">
        <f>IF(OR(Table16[[#This Row],[Status]]="Pending",Table16[[#This Row],[Status]]="Refunded"),"Review","OK")</f>
        <v>Review</v>
      </c>
      <c r="S11" s="6" t="str">
        <f>IF(Table16[[#This Row],[Net_Sales]]&gt;25000,"Hgh",IF(Table16[[#This Row],[Net_Sales]]&gt;10000,"Medium","Low"))</f>
        <v>Medium</v>
      </c>
      <c r="T11" s="6" t="b">
        <f>AND(Table16[[#This Row],[Quantity]]&gt;=5,Table16[[#This Row],[Discount_Rate]]&gt;=10%)</f>
        <v>1</v>
      </c>
      <c r="U11" s="6" t="b">
        <f>OR(Table16[[#This Row],[Payment_Method]]="UPI",Table16[[#This Row],[Payment_Method]]="Cash")</f>
        <v>1</v>
      </c>
      <c r="V11" s="6">
        <f>IFERROR(Table16[[#This Row],[Net_Sales]]/Table16[[#This Row],[Quantity]],"ERROR")</f>
        <v>2560</v>
      </c>
      <c r="W11" s="6" t="str">
        <f>PROPER(TRIM(Table16[[#This Row],[Customer_Name]]))</f>
        <v>Jasmine Market</v>
      </c>
      <c r="X11" s="6" t="str">
        <f>PROPER(TRIM(Table16[[#This Row],[Region]]))</f>
        <v>South</v>
      </c>
      <c r="Y11" s="6">
        <f>YEAR(Table16[[#This Row],[Date]])</f>
        <v>2026</v>
      </c>
      <c r="Z11" s="6">
        <f>MONTH(Table16[[#This Row],[Date]])</f>
        <v>1</v>
      </c>
      <c r="AA11" s="6" t="str">
        <f>MID(Table16[[#This Row],[Transaction_ID]],4,7)</f>
        <v>1010</v>
      </c>
      <c r="AB11" s="6" t="str">
        <f>_xlfn.CONCAT(Table16[[#This Row],[Region]],"-",Table16[[#This Row],[Category]])</f>
        <v>South-Fashion</v>
      </c>
    </row>
    <row r="12" spans="1:28">
      <c r="A12" s="4" t="s">
        <v>67</v>
      </c>
      <c r="B12" s="5">
        <v>46037</v>
      </c>
      <c r="C12" s="6" t="s">
        <v>31</v>
      </c>
      <c r="D12" s="6" t="s">
        <v>15</v>
      </c>
      <c r="E12" s="6" t="s">
        <v>68</v>
      </c>
      <c r="F12" s="6" t="s">
        <v>17</v>
      </c>
      <c r="G12" s="6" t="s">
        <v>69</v>
      </c>
      <c r="H12" s="6">
        <v>4</v>
      </c>
      <c r="I12" s="7">
        <v>11200</v>
      </c>
      <c r="J12" s="8">
        <v>0.08</v>
      </c>
      <c r="K12" s="6" t="s">
        <v>28</v>
      </c>
      <c r="L12" s="6" t="s">
        <v>20</v>
      </c>
      <c r="M12" s="6" t="s">
        <v>36</v>
      </c>
      <c r="N12" s="6">
        <f>Table16[[#This Row],[Quantity]]*Table16[[#This Row],[Unit_Price_INR]]</f>
        <v>44800</v>
      </c>
      <c r="O12" s="6">
        <f>Table16[[#This Row],[Gross sales]]*Table16[[#This Row],[Discount_Rate]]</f>
        <v>3584</v>
      </c>
      <c r="P12" s="6">
        <f>Table16[[#This Row],[Gross sales]]-Table16[[#This Row],[Discount_Amount]]</f>
        <v>41216</v>
      </c>
      <c r="Q12" s="6" t="str">
        <f>TEXT(Table16[[#This Row],[Date]],"mmmm")</f>
        <v>January</v>
      </c>
      <c r="R12" s="15" t="str">
        <f>IF(OR(Table16[[#This Row],[Status]]="Pending",Table16[[#This Row],[Status]]="Refunded"),"Review","OK")</f>
        <v>OK</v>
      </c>
      <c r="S12" s="6" t="str">
        <f>IF(Table16[[#This Row],[Net_Sales]]&gt;25000,"Hgh",IF(Table16[[#This Row],[Net_Sales]]&gt;10000,"Medium","Low"))</f>
        <v>Hgh</v>
      </c>
      <c r="T12" s="6" t="b">
        <f>AND(Table16[[#This Row],[Quantity]]&gt;=5,Table16[[#This Row],[Discount_Rate]]&gt;=10%)</f>
        <v>0</v>
      </c>
      <c r="U12" s="6" t="b">
        <f>OR(Table16[[#This Row],[Payment_Method]]="UPI",Table16[[#This Row],[Payment_Method]]="Cash")</f>
        <v>0</v>
      </c>
      <c r="V12" s="6">
        <f>IFERROR(Table16[[#This Row],[Net_Sales]]/Table16[[#This Row],[Quantity]],"ERROR")</f>
        <v>10304</v>
      </c>
      <c r="W12" s="6" t="str">
        <f>PROPER(TRIM(Table16[[#This Row],[Customer_Name]]))</f>
        <v>Kingfisher Store</v>
      </c>
      <c r="X12" s="6" t="str">
        <f>PROPER(TRIM(Table16[[#This Row],[Region]]))</f>
        <v>West</v>
      </c>
      <c r="Y12" s="6">
        <f>YEAR(Table16[[#This Row],[Date]])</f>
        <v>2026</v>
      </c>
      <c r="Z12" s="6">
        <f>MONTH(Table16[[#This Row],[Date]])</f>
        <v>1</v>
      </c>
      <c r="AA12" s="6" t="str">
        <f>MID(Table16[[#This Row],[Transaction_ID]],4,7)</f>
        <v>1011</v>
      </c>
      <c r="AB12" s="6" t="str">
        <f>_xlfn.CONCAT(Table16[[#This Row],[Region]],"-",Table16[[#This Row],[Category]])</f>
        <v>West-Electronics</v>
      </c>
    </row>
    <row r="13" spans="1:28">
      <c r="A13" s="10" t="s">
        <v>70</v>
      </c>
      <c r="B13" s="11">
        <v>46039</v>
      </c>
      <c r="C13" s="12" t="s">
        <v>38</v>
      </c>
      <c r="D13" s="12" t="s">
        <v>39</v>
      </c>
      <c r="E13" s="12" t="s">
        <v>71</v>
      </c>
      <c r="F13" s="12" t="s">
        <v>33</v>
      </c>
      <c r="G13" s="12" t="s">
        <v>72</v>
      </c>
      <c r="H13" s="12">
        <v>20</v>
      </c>
      <c r="I13" s="13">
        <v>650</v>
      </c>
      <c r="J13" s="14">
        <v>0.02</v>
      </c>
      <c r="K13" s="12" t="s">
        <v>43</v>
      </c>
      <c r="L13" s="12" t="s">
        <v>20</v>
      </c>
      <c r="M13" s="12" t="s">
        <v>44</v>
      </c>
      <c r="N13" s="6">
        <f>Table16[[#This Row],[Quantity]]*Table16[[#This Row],[Unit_Price_INR]]</f>
        <v>13000</v>
      </c>
      <c r="O13" s="6">
        <f>Table16[[#This Row],[Gross sales]]*Table16[[#This Row],[Discount_Rate]]</f>
        <v>260</v>
      </c>
      <c r="P13" s="6">
        <f>Table16[[#This Row],[Gross sales]]-Table16[[#This Row],[Discount_Amount]]</f>
        <v>12740</v>
      </c>
      <c r="Q13" s="6" t="str">
        <f>TEXT(Table16[[#This Row],[Date]],"mmmm")</f>
        <v>January</v>
      </c>
      <c r="R13" s="9" t="str">
        <f>IF(OR(Table16[[#This Row],[Status]]="Pending",Table16[[#This Row],[Status]]="Refunded"),"Review","OK")</f>
        <v>OK</v>
      </c>
      <c r="S13" s="6" t="str">
        <f>IF(Table16[[#This Row],[Net_Sales]]&gt;25000,"Hgh",IF(Table16[[#This Row],[Net_Sales]]&gt;10000,"Medium","Low"))</f>
        <v>Medium</v>
      </c>
      <c r="T13" s="6" t="b">
        <f>AND(Table16[[#This Row],[Quantity]]&gt;=5,Table16[[#This Row],[Discount_Rate]]&gt;=10%)</f>
        <v>0</v>
      </c>
      <c r="U13" s="6" t="b">
        <f>OR(Table16[[#This Row],[Payment_Method]]="UPI",Table16[[#This Row],[Payment_Method]]="Cash")</f>
        <v>0</v>
      </c>
      <c r="V13" s="6">
        <f>IFERROR(Table16[[#This Row],[Net_Sales]]/Table16[[#This Row],[Quantity]],"ERROR")</f>
        <v>637</v>
      </c>
      <c r="W13" s="6" t="str">
        <f>PROPER(TRIM(Table16[[#This Row],[Customer_Name]]))</f>
        <v>Lotus Distributors</v>
      </c>
      <c r="X13" s="6" t="str">
        <f>PROPER(TRIM(Table16[[#This Row],[Region]]))</f>
        <v>East</v>
      </c>
      <c r="Y13" s="6">
        <f>YEAR(Table16[[#This Row],[Date]])</f>
        <v>2026</v>
      </c>
      <c r="Z13" s="6">
        <f>MONTH(Table16[[#This Row],[Date]])</f>
        <v>1</v>
      </c>
      <c r="AA13" s="6" t="str">
        <f>MID(Table16[[#This Row],[Transaction_ID]],4,7)</f>
        <v>1012</v>
      </c>
      <c r="AB13" s="6" t="str">
        <f>_xlfn.CONCAT(Table16[[#This Row],[Region]],"-",Table16[[#This Row],[Category]])</f>
        <v>East-Grocery</v>
      </c>
    </row>
    <row r="14" spans="1:28">
      <c r="A14" s="4" t="s">
        <v>73</v>
      </c>
      <c r="B14" s="5">
        <v>46041</v>
      </c>
      <c r="C14" s="6" t="s">
        <v>14</v>
      </c>
      <c r="D14" s="6" t="s">
        <v>24</v>
      </c>
      <c r="E14" s="6" t="s">
        <v>74</v>
      </c>
      <c r="F14" s="6" t="s">
        <v>26</v>
      </c>
      <c r="G14" s="6" t="s">
        <v>75</v>
      </c>
      <c r="H14" s="6">
        <v>3</v>
      </c>
      <c r="I14" s="7">
        <v>8900</v>
      </c>
      <c r="J14" s="8">
        <v>0.1</v>
      </c>
      <c r="K14" s="6" t="s">
        <v>28</v>
      </c>
      <c r="L14" s="6" t="s">
        <v>20</v>
      </c>
      <c r="M14" s="6" t="s">
        <v>21</v>
      </c>
      <c r="N14" s="6">
        <f>Table16[[#This Row],[Quantity]]*Table16[[#This Row],[Unit_Price_INR]]</f>
        <v>26700</v>
      </c>
      <c r="O14" s="6">
        <f>Table16[[#This Row],[Gross sales]]*Table16[[#This Row],[Discount_Rate]]</f>
        <v>2670</v>
      </c>
      <c r="P14" s="6">
        <f>Table16[[#This Row],[Gross sales]]-Table16[[#This Row],[Discount_Amount]]</f>
        <v>24030</v>
      </c>
      <c r="Q14" s="6" t="str">
        <f>TEXT(Table16[[#This Row],[Date]],"mmmm")</f>
        <v>January</v>
      </c>
      <c r="R14" s="9" t="str">
        <f>IF(OR(Table16[[#This Row],[Status]]="Pending",Table16[[#This Row],[Status]]="Refunded"),"Review","OK")</f>
        <v>OK</v>
      </c>
      <c r="S14" s="6" t="str">
        <f>IF(Table16[[#This Row],[Net_Sales]]&gt;25000,"Hgh",IF(Table16[[#This Row],[Net_Sales]]&gt;10000,"Medium","Low"))</f>
        <v>Medium</v>
      </c>
      <c r="T14" s="6" t="b">
        <f>AND(Table16[[#This Row],[Quantity]]&gt;=5,Table16[[#This Row],[Discount_Rate]]&gt;=10%)</f>
        <v>0</v>
      </c>
      <c r="U14" s="6" t="b">
        <f>OR(Table16[[#This Row],[Payment_Method]]="UPI",Table16[[#This Row],[Payment_Method]]="Cash")</f>
        <v>0</v>
      </c>
      <c r="V14" s="6">
        <f>IFERROR(Table16[[#This Row],[Net_Sales]]/Table16[[#This Row],[Quantity]],"ERROR")</f>
        <v>8010</v>
      </c>
      <c r="W14" s="6" t="str">
        <f>PROPER(TRIM(Table16[[#This Row],[Customer_Name]]))</f>
        <v>Metro Shop</v>
      </c>
      <c r="X14" s="6" t="str">
        <f>PROPER(TRIM(Table16[[#This Row],[Region]]))</f>
        <v>North</v>
      </c>
      <c r="Y14" s="6">
        <f>YEAR(Table16[[#This Row],[Date]])</f>
        <v>2026</v>
      </c>
      <c r="Z14" s="6">
        <f>MONTH(Table16[[#This Row],[Date]])</f>
        <v>1</v>
      </c>
      <c r="AA14" s="6" t="str">
        <f>MID(Table16[[#This Row],[Transaction_ID]],4,7)</f>
        <v>1013</v>
      </c>
      <c r="AB14" s="6" t="str">
        <f>_xlfn.CONCAT(Table16[[#This Row],[Region]],"-",Table16[[#This Row],[Category]])</f>
        <v>North-Home</v>
      </c>
    </row>
    <row r="15" spans="1:28" hidden="1">
      <c r="A15" s="10" t="s">
        <v>76</v>
      </c>
      <c r="B15" s="11">
        <v>46043</v>
      </c>
      <c r="C15" s="12" t="s">
        <v>23</v>
      </c>
      <c r="D15" s="12" t="s">
        <v>15</v>
      </c>
      <c r="E15" s="12" t="s">
        <v>77</v>
      </c>
      <c r="F15" s="12" t="s">
        <v>41</v>
      </c>
      <c r="G15" s="12" t="s">
        <v>78</v>
      </c>
      <c r="H15" s="12">
        <v>25</v>
      </c>
      <c r="I15" s="13">
        <v>180</v>
      </c>
      <c r="J15" s="14">
        <v>0</v>
      </c>
      <c r="K15" s="12" t="s">
        <v>35</v>
      </c>
      <c r="L15" s="12" t="s">
        <v>20</v>
      </c>
      <c r="M15" s="12" t="s">
        <v>52</v>
      </c>
      <c r="N15" s="6">
        <f>Table16[[#This Row],[Quantity]]*Table16[[#This Row],[Unit_Price_INR]]</f>
        <v>4500</v>
      </c>
      <c r="O15" s="6">
        <f>Table16[[#This Row],[Gross sales]]*Table16[[#This Row],[Discount_Rate]]</f>
        <v>0</v>
      </c>
      <c r="P15" s="6">
        <f>Table16[[#This Row],[Gross sales]]-Table16[[#This Row],[Discount_Amount]]</f>
        <v>4500</v>
      </c>
      <c r="Q15" s="6" t="str">
        <f>TEXT(Table16[[#This Row],[Date]],"mmmm")</f>
        <v>January</v>
      </c>
      <c r="R15" s="9" t="str">
        <f>IF(OR(Table16[[#This Row],[Status]]="Pending",Table16[[#This Row],[Status]]="Refunded"),"Review","OK")</f>
        <v>OK</v>
      </c>
      <c r="S15" s="6" t="str">
        <f>IF(Table16[[#This Row],[Net_Sales]]&gt;25000,"Hgh",IF(Table16[[#This Row],[Net_Sales]]&gt;10000,"Medium","Low"))</f>
        <v>Low</v>
      </c>
      <c r="T15" s="6" t="b">
        <f>AND(Table16[[#This Row],[Quantity]]&gt;=5,Table16[[#This Row],[Discount_Rate]]&gt;=10%)</f>
        <v>0</v>
      </c>
      <c r="U15" s="6" t="b">
        <f>OR(Table16[[#This Row],[Payment_Method]]="UPI",Table16[[#This Row],[Payment_Method]]="Cash")</f>
        <v>1</v>
      </c>
      <c r="V15" s="6">
        <f>IFERROR(Table16[[#This Row],[Net_Sales]]/Table16[[#This Row],[Quantity]],"ERROR")</f>
        <v>180</v>
      </c>
      <c r="W15" s="6" t="str">
        <f>PROPER(TRIM(Table16[[#This Row],[Customer_Name]]))</f>
        <v>Nova Stores</v>
      </c>
      <c r="X15" s="6" t="str">
        <f>PROPER(TRIM(Table16[[#This Row],[Region]]))</f>
        <v>South</v>
      </c>
      <c r="Y15" s="6">
        <f>YEAR(Table16[[#This Row],[Date]])</f>
        <v>2026</v>
      </c>
      <c r="Z15" s="6">
        <f>MONTH(Table16[[#This Row],[Date]])</f>
        <v>1</v>
      </c>
      <c r="AA15" s="6" t="str">
        <f>MID(Table16[[#This Row],[Transaction_ID]],4,7)</f>
        <v>1014</v>
      </c>
      <c r="AB15" s="6" t="str">
        <f>_xlfn.CONCAT(Table16[[#This Row],[Region]],"-",Table16[[#This Row],[Category]])</f>
        <v>South-Office</v>
      </c>
    </row>
    <row r="16" spans="1:28">
      <c r="A16" s="4" t="s">
        <v>79</v>
      </c>
      <c r="B16" s="5">
        <v>46045</v>
      </c>
      <c r="C16" s="6" t="s">
        <v>31</v>
      </c>
      <c r="D16" s="6" t="s">
        <v>39</v>
      </c>
      <c r="E16" s="6" t="s">
        <v>80</v>
      </c>
      <c r="F16" s="6" t="s">
        <v>17</v>
      </c>
      <c r="G16" s="6" t="s">
        <v>81</v>
      </c>
      <c r="H16" s="6">
        <v>5</v>
      </c>
      <c r="I16" s="7">
        <v>28500</v>
      </c>
      <c r="J16" s="8">
        <v>0.06</v>
      </c>
      <c r="K16" s="6" t="s">
        <v>43</v>
      </c>
      <c r="L16" s="6" t="s">
        <v>20</v>
      </c>
      <c r="M16" s="6" t="s">
        <v>36</v>
      </c>
      <c r="N16" s="6">
        <f>Table16[[#This Row],[Quantity]]*Table16[[#This Row],[Unit_Price_INR]]</f>
        <v>142500</v>
      </c>
      <c r="O16" s="6">
        <f>Table16[[#This Row],[Gross sales]]*Table16[[#This Row],[Discount_Rate]]</f>
        <v>8550</v>
      </c>
      <c r="P16" s="6">
        <f>Table16[[#This Row],[Gross sales]]-Table16[[#This Row],[Discount_Amount]]</f>
        <v>133950</v>
      </c>
      <c r="Q16" s="6" t="str">
        <f>TEXT(Table16[[#This Row],[Date]],"mmmm")</f>
        <v>January</v>
      </c>
      <c r="R16" s="9" t="str">
        <f>IF(OR(Table16[[#This Row],[Status]]="Pending",Table16[[#This Row],[Status]]="Refunded"),"Review","OK")</f>
        <v>OK</v>
      </c>
      <c r="S16" s="6" t="str">
        <f>IF(Table16[[#This Row],[Net_Sales]]&gt;25000,"Hgh",IF(Table16[[#This Row],[Net_Sales]]&gt;10000,"Medium","Low"))</f>
        <v>Hgh</v>
      </c>
      <c r="T16" s="6" t="b">
        <f>AND(Table16[[#This Row],[Quantity]]&gt;=5,Table16[[#This Row],[Discount_Rate]]&gt;=10%)</f>
        <v>0</v>
      </c>
      <c r="U16" s="6" t="b">
        <f>OR(Table16[[#This Row],[Payment_Method]]="UPI",Table16[[#This Row],[Payment_Method]]="Cash")</f>
        <v>0</v>
      </c>
      <c r="V16" s="6">
        <f>IFERROR(Table16[[#This Row],[Net_Sales]]/Table16[[#This Row],[Quantity]],"ERROR")</f>
        <v>26790</v>
      </c>
      <c r="W16" s="6" t="str">
        <f>PROPER(TRIM(Table16[[#This Row],[Customer_Name]]))</f>
        <v>Ocean Traders</v>
      </c>
      <c r="X16" s="6" t="str">
        <f>PROPER(TRIM(Table16[[#This Row],[Region]]))</f>
        <v>West</v>
      </c>
      <c r="Y16" s="6">
        <f>YEAR(Table16[[#This Row],[Date]])</f>
        <v>2026</v>
      </c>
      <c r="Z16" s="6">
        <f>MONTH(Table16[[#This Row],[Date]])</f>
        <v>1</v>
      </c>
      <c r="AA16" s="6" t="str">
        <f>MID(Table16[[#This Row],[Transaction_ID]],4,7)</f>
        <v>1015</v>
      </c>
      <c r="AB16" s="6" t="str">
        <f>_xlfn.CONCAT(Table16[[#This Row],[Region]],"-",Table16[[#This Row],[Category]])</f>
        <v>West-Electronics</v>
      </c>
    </row>
    <row r="17" spans="1:28" hidden="1">
      <c r="A17" s="10" t="s">
        <v>82</v>
      </c>
      <c r="B17" s="11">
        <v>46047</v>
      </c>
      <c r="C17" s="12" t="s">
        <v>38</v>
      </c>
      <c r="D17" s="12" t="s">
        <v>24</v>
      </c>
      <c r="E17" s="12" t="s">
        <v>83</v>
      </c>
      <c r="F17" s="12" t="s">
        <v>47</v>
      </c>
      <c r="G17" s="12" t="s">
        <v>84</v>
      </c>
      <c r="H17" s="12">
        <v>7</v>
      </c>
      <c r="I17" s="13">
        <v>1500</v>
      </c>
      <c r="J17" s="14">
        <v>0.1</v>
      </c>
      <c r="K17" s="12" t="s">
        <v>19</v>
      </c>
      <c r="L17" s="12" t="s">
        <v>20</v>
      </c>
      <c r="M17" s="12" t="s">
        <v>44</v>
      </c>
      <c r="N17" s="6">
        <f>Table16[[#This Row],[Quantity]]*Table16[[#This Row],[Unit_Price_INR]]</f>
        <v>10500</v>
      </c>
      <c r="O17" s="6">
        <f>Table16[[#This Row],[Gross sales]]*Table16[[#This Row],[Discount_Rate]]</f>
        <v>1050</v>
      </c>
      <c r="P17" s="6">
        <f>Table16[[#This Row],[Gross sales]]-Table16[[#This Row],[Discount_Amount]]</f>
        <v>9450</v>
      </c>
      <c r="Q17" s="6" t="str">
        <f>TEXT(Table16[[#This Row],[Date]],"mmmm")</f>
        <v>January</v>
      </c>
      <c r="R17" s="9" t="str">
        <f>IF(OR(Table16[[#This Row],[Status]]="Pending",Table16[[#This Row],[Status]]="Refunded"),"Review","OK")</f>
        <v>OK</v>
      </c>
      <c r="S17" s="6" t="str">
        <f>IF(Table16[[#This Row],[Net_Sales]]&gt;25000,"Hgh",IF(Table16[[#This Row],[Net_Sales]]&gt;10000,"Medium","Low"))</f>
        <v>Low</v>
      </c>
      <c r="T17" s="6" t="b">
        <f>AND(Table16[[#This Row],[Quantity]]&gt;=5,Table16[[#This Row],[Discount_Rate]]&gt;=10%)</f>
        <v>1</v>
      </c>
      <c r="U17" s="6" t="b">
        <f>OR(Table16[[#This Row],[Payment_Method]]="UPI",Table16[[#This Row],[Payment_Method]]="Cash")</f>
        <v>1</v>
      </c>
      <c r="V17" s="6">
        <f>IFERROR(Table16[[#This Row],[Net_Sales]]/Table16[[#This Row],[Quantity]],"ERROR")</f>
        <v>1350</v>
      </c>
      <c r="W17" s="6" t="str">
        <f>PROPER(TRIM(Table16[[#This Row],[Customer_Name]]))</f>
        <v>Prime Retail</v>
      </c>
      <c r="X17" s="6" t="str">
        <f>PROPER(TRIM(Table16[[#This Row],[Region]]))</f>
        <v>East</v>
      </c>
      <c r="Y17" s="6">
        <f>YEAR(Table16[[#This Row],[Date]])</f>
        <v>2026</v>
      </c>
      <c r="Z17" s="6">
        <f>MONTH(Table16[[#This Row],[Date]])</f>
        <v>1</v>
      </c>
      <c r="AA17" s="6" t="str">
        <f>MID(Table16[[#This Row],[Transaction_ID]],4,7)</f>
        <v>1016</v>
      </c>
      <c r="AB17" s="6" t="str">
        <f>_xlfn.CONCAT(Table16[[#This Row],[Region]],"-",Table16[[#This Row],[Category]])</f>
        <v>East-Fashion</v>
      </c>
    </row>
    <row r="18" spans="1:28" hidden="1">
      <c r="A18" s="4" t="s">
        <v>85</v>
      </c>
      <c r="B18" s="5">
        <v>46049</v>
      </c>
      <c r="C18" s="6" t="s">
        <v>14</v>
      </c>
      <c r="D18" s="6" t="s">
        <v>15</v>
      </c>
      <c r="E18" s="6" t="s">
        <v>86</v>
      </c>
      <c r="F18" s="6" t="s">
        <v>33</v>
      </c>
      <c r="G18" s="6" t="s">
        <v>87</v>
      </c>
      <c r="H18" s="6">
        <v>15</v>
      </c>
      <c r="I18" s="7">
        <v>320</v>
      </c>
      <c r="J18" s="8">
        <v>0.05</v>
      </c>
      <c r="K18" s="6" t="s">
        <v>35</v>
      </c>
      <c r="L18" s="6" t="s">
        <v>20</v>
      </c>
      <c r="M18" s="6" t="s">
        <v>21</v>
      </c>
      <c r="N18" s="6">
        <f>Table16[[#This Row],[Quantity]]*Table16[[#This Row],[Unit_Price_INR]]</f>
        <v>4800</v>
      </c>
      <c r="O18" s="6">
        <f>Table16[[#This Row],[Gross sales]]*Table16[[#This Row],[Discount_Rate]]</f>
        <v>240</v>
      </c>
      <c r="P18" s="6">
        <f>Table16[[#This Row],[Gross sales]]-Table16[[#This Row],[Discount_Amount]]</f>
        <v>4560</v>
      </c>
      <c r="Q18" s="6" t="str">
        <f>TEXT(Table16[[#This Row],[Date]],"mmmm")</f>
        <v>January</v>
      </c>
      <c r="R18" s="9" t="str">
        <f>IF(OR(Table16[[#This Row],[Status]]="Pending",Table16[[#This Row],[Status]]="Refunded"),"Review","OK")</f>
        <v>OK</v>
      </c>
      <c r="S18" s="6" t="str">
        <f>IF(Table16[[#This Row],[Net_Sales]]&gt;25000,"Hgh",IF(Table16[[#This Row],[Net_Sales]]&gt;10000,"Medium","Low"))</f>
        <v>Low</v>
      </c>
      <c r="T18" s="6" t="b">
        <f>AND(Table16[[#This Row],[Quantity]]&gt;=5,Table16[[#This Row],[Discount_Rate]]&gt;=10%)</f>
        <v>0</v>
      </c>
      <c r="U18" s="6" t="b">
        <f>OR(Table16[[#This Row],[Payment_Method]]="UPI",Table16[[#This Row],[Payment_Method]]="Cash")</f>
        <v>1</v>
      </c>
      <c r="V18" s="6">
        <f>IFERROR(Table16[[#This Row],[Net_Sales]]/Table16[[#This Row],[Quantity]],"ERROR")</f>
        <v>304</v>
      </c>
      <c r="W18" s="6" t="str">
        <f>PROPER(TRIM(Table16[[#This Row],[Customer_Name]]))</f>
        <v>Quick Buy</v>
      </c>
      <c r="X18" s="6" t="str">
        <f>PROPER(TRIM(Table16[[#This Row],[Region]]))</f>
        <v>North</v>
      </c>
      <c r="Y18" s="6">
        <f>YEAR(Table16[[#This Row],[Date]])</f>
        <v>2026</v>
      </c>
      <c r="Z18" s="6">
        <f>MONTH(Table16[[#This Row],[Date]])</f>
        <v>1</v>
      </c>
      <c r="AA18" s="6" t="str">
        <f>MID(Table16[[#This Row],[Transaction_ID]],4,7)</f>
        <v>1017</v>
      </c>
      <c r="AB18" s="6" t="str">
        <f>_xlfn.CONCAT(Table16[[#This Row],[Region]],"-",Table16[[#This Row],[Category]])</f>
        <v>North-Grocery</v>
      </c>
    </row>
    <row r="19" spans="1:28" hidden="1">
      <c r="A19" s="10" t="s">
        <v>88</v>
      </c>
      <c r="B19" s="11">
        <v>46051</v>
      </c>
      <c r="C19" s="12" t="s">
        <v>23</v>
      </c>
      <c r="D19" s="12" t="s">
        <v>39</v>
      </c>
      <c r="E19" s="12" t="s">
        <v>89</v>
      </c>
      <c r="F19" s="12" t="s">
        <v>26</v>
      </c>
      <c r="G19" s="12" t="s">
        <v>90</v>
      </c>
      <c r="H19" s="12">
        <v>2</v>
      </c>
      <c r="I19" s="13">
        <v>12500</v>
      </c>
      <c r="J19" s="14">
        <v>0.08</v>
      </c>
      <c r="K19" s="12" t="s">
        <v>43</v>
      </c>
      <c r="L19" s="12" t="s">
        <v>56</v>
      </c>
      <c r="M19" s="12" t="s">
        <v>29</v>
      </c>
      <c r="N19" s="6">
        <f>Table16[[#This Row],[Quantity]]*Table16[[#This Row],[Unit_Price_INR]]</f>
        <v>25000</v>
      </c>
      <c r="O19" s="6">
        <f>Table16[[#This Row],[Gross sales]]*Table16[[#This Row],[Discount_Rate]]</f>
        <v>2000</v>
      </c>
      <c r="P19" s="6">
        <f>Table16[[#This Row],[Gross sales]]-Table16[[#This Row],[Discount_Amount]]</f>
        <v>23000</v>
      </c>
      <c r="Q19" s="6" t="str">
        <f>TEXT(Table16[[#This Row],[Date]],"mmmm")</f>
        <v>January</v>
      </c>
      <c r="R19" s="9" t="str">
        <f>IF(OR(Table16[[#This Row],[Status]]="Pending",Table16[[#This Row],[Status]]="Refunded"),"Review","OK")</f>
        <v>Review</v>
      </c>
      <c r="S19" s="6" t="str">
        <f>IF(Table16[[#This Row],[Net_Sales]]&gt;25000,"Hgh",IF(Table16[[#This Row],[Net_Sales]]&gt;10000,"Medium","Low"))</f>
        <v>Medium</v>
      </c>
      <c r="T19" s="6" t="b">
        <f>AND(Table16[[#This Row],[Quantity]]&gt;=5,Table16[[#This Row],[Discount_Rate]]&gt;=10%)</f>
        <v>0</v>
      </c>
      <c r="U19" s="6" t="b">
        <f>OR(Table16[[#This Row],[Payment_Method]]="UPI",Table16[[#This Row],[Payment_Method]]="Cash")</f>
        <v>0</v>
      </c>
      <c r="V19" s="6">
        <f>IFERROR(Table16[[#This Row],[Net_Sales]]/Table16[[#This Row],[Quantity]],"ERROR")</f>
        <v>11500</v>
      </c>
      <c r="W19" s="6" t="str">
        <f>PROPER(TRIM(Table16[[#This Row],[Customer_Name]]))</f>
        <v>Royal Mart</v>
      </c>
      <c r="X19" s="6" t="str">
        <f>PROPER(TRIM(Table16[[#This Row],[Region]]))</f>
        <v>South</v>
      </c>
      <c r="Y19" s="6">
        <f>YEAR(Table16[[#This Row],[Date]])</f>
        <v>2026</v>
      </c>
      <c r="Z19" s="6">
        <f>MONTH(Table16[[#This Row],[Date]])</f>
        <v>1</v>
      </c>
      <c r="AA19" s="6" t="str">
        <f>MID(Table16[[#This Row],[Transaction_ID]],4,7)</f>
        <v>1018</v>
      </c>
      <c r="AB19" s="6" t="str">
        <f>_xlfn.CONCAT(Table16[[#This Row],[Region]],"-",Table16[[#This Row],[Category]])</f>
        <v>South-Home</v>
      </c>
    </row>
    <row r="20" spans="1:28">
      <c r="A20" s="4" t="s">
        <v>91</v>
      </c>
      <c r="B20" s="5">
        <v>46055</v>
      </c>
      <c r="C20" s="6" t="s">
        <v>31</v>
      </c>
      <c r="D20" s="6" t="s">
        <v>24</v>
      </c>
      <c r="E20" s="6" t="s">
        <v>92</v>
      </c>
      <c r="F20" s="6" t="s">
        <v>17</v>
      </c>
      <c r="G20" s="6" t="s">
        <v>93</v>
      </c>
      <c r="H20" s="6">
        <v>4</v>
      </c>
      <c r="I20" s="7">
        <v>22000</v>
      </c>
      <c r="J20" s="8">
        <v>0.12</v>
      </c>
      <c r="K20" s="6" t="s">
        <v>28</v>
      </c>
      <c r="L20" s="6" t="s">
        <v>20</v>
      </c>
      <c r="M20" s="6" t="s">
        <v>36</v>
      </c>
      <c r="N20" s="6">
        <f>Table16[[#This Row],[Quantity]]*Table16[[#This Row],[Unit_Price_INR]]</f>
        <v>88000</v>
      </c>
      <c r="O20" s="6">
        <f>Table16[[#This Row],[Gross sales]]*Table16[[#This Row],[Discount_Rate]]</f>
        <v>10560</v>
      </c>
      <c r="P20" s="6">
        <f>Table16[[#This Row],[Gross sales]]-Table16[[#This Row],[Discount_Amount]]</f>
        <v>77440</v>
      </c>
      <c r="Q20" s="6" t="str">
        <f>TEXT(Table16[[#This Row],[Date]],"mmmm")</f>
        <v>February</v>
      </c>
      <c r="R20" s="9" t="str">
        <f>IF(OR(Table16[[#This Row],[Status]]="Pending",Table16[[#This Row],[Status]]="Refunded"),"Review","OK")</f>
        <v>OK</v>
      </c>
      <c r="S20" s="6" t="str">
        <f>IF(Table16[[#This Row],[Net_Sales]]&gt;25000,"Hgh",IF(Table16[[#This Row],[Net_Sales]]&gt;10000,"Medium","Low"))</f>
        <v>Hgh</v>
      </c>
      <c r="T20" s="6" t="b">
        <f>AND(Table16[[#This Row],[Quantity]]&gt;=5,Table16[[#This Row],[Discount_Rate]]&gt;=10%)</f>
        <v>0</v>
      </c>
      <c r="U20" s="6" t="b">
        <f>OR(Table16[[#This Row],[Payment_Method]]="UPI",Table16[[#This Row],[Payment_Method]]="Cash")</f>
        <v>0</v>
      </c>
      <c r="V20" s="6">
        <f>IFERROR(Table16[[#This Row],[Net_Sales]]/Table16[[#This Row],[Quantity]],"ERROR")</f>
        <v>19360</v>
      </c>
      <c r="W20" s="6" t="str">
        <f>PROPER(TRIM(Table16[[#This Row],[Customer_Name]]))</f>
        <v>Sunrise Shop</v>
      </c>
      <c r="X20" s="6" t="str">
        <f>PROPER(TRIM(Table16[[#This Row],[Region]]))</f>
        <v>West</v>
      </c>
      <c r="Y20" s="6">
        <f>YEAR(Table16[[#This Row],[Date]])</f>
        <v>2026</v>
      </c>
      <c r="Z20" s="6">
        <f>MONTH(Table16[[#This Row],[Date]])</f>
        <v>2</v>
      </c>
      <c r="AA20" s="6" t="str">
        <f>MID(Table16[[#This Row],[Transaction_ID]],4,7)</f>
        <v>1019</v>
      </c>
      <c r="AB20" s="6" t="str">
        <f>_xlfn.CONCAT(Table16[[#This Row],[Region]],"-",Table16[[#This Row],[Category]])</f>
        <v>West-Electronics</v>
      </c>
    </row>
    <row r="21" spans="1:28">
      <c r="A21" s="10" t="s">
        <v>94</v>
      </c>
      <c r="B21" s="11">
        <v>46056</v>
      </c>
      <c r="C21" s="12" t="s">
        <v>38</v>
      </c>
      <c r="D21" s="12" t="s">
        <v>15</v>
      </c>
      <c r="E21" s="12" t="s">
        <v>95</v>
      </c>
      <c r="F21" s="12" t="s">
        <v>47</v>
      </c>
      <c r="G21" s="12" t="s">
        <v>96</v>
      </c>
      <c r="H21" s="12">
        <v>18</v>
      </c>
      <c r="I21" s="13">
        <v>650</v>
      </c>
      <c r="J21" s="14">
        <v>0.1</v>
      </c>
      <c r="K21" s="12" t="s">
        <v>19</v>
      </c>
      <c r="L21" s="12" t="s">
        <v>20</v>
      </c>
      <c r="M21" s="12" t="s">
        <v>44</v>
      </c>
      <c r="N21" s="6">
        <f>Table16[[#This Row],[Quantity]]*Table16[[#This Row],[Unit_Price_INR]]</f>
        <v>11700</v>
      </c>
      <c r="O21" s="6">
        <f>Table16[[#This Row],[Gross sales]]*Table16[[#This Row],[Discount_Rate]]</f>
        <v>1170</v>
      </c>
      <c r="P21" s="6">
        <f>Table16[[#This Row],[Gross sales]]-Table16[[#This Row],[Discount_Amount]]</f>
        <v>10530</v>
      </c>
      <c r="Q21" s="6" t="str">
        <f>TEXT(Table16[[#This Row],[Date]],"mmmm")</f>
        <v>February</v>
      </c>
      <c r="R21" s="9" t="str">
        <f>IF(OR(Table16[[#This Row],[Status]]="Pending",Table16[[#This Row],[Status]]="Refunded"),"Review","OK")</f>
        <v>OK</v>
      </c>
      <c r="S21" s="6" t="str">
        <f>IF(Table16[[#This Row],[Net_Sales]]&gt;25000,"Hgh",IF(Table16[[#This Row],[Net_Sales]]&gt;10000,"Medium","Low"))</f>
        <v>Medium</v>
      </c>
      <c r="T21" s="6" t="b">
        <f>AND(Table16[[#This Row],[Quantity]]&gt;=5,Table16[[#This Row],[Discount_Rate]]&gt;=10%)</f>
        <v>1</v>
      </c>
      <c r="U21" s="6" t="b">
        <f>OR(Table16[[#This Row],[Payment_Method]]="UPI",Table16[[#This Row],[Payment_Method]]="Cash")</f>
        <v>1</v>
      </c>
      <c r="V21" s="6">
        <f>IFERROR(Table16[[#This Row],[Net_Sales]]/Table16[[#This Row],[Quantity]],"ERROR")</f>
        <v>585</v>
      </c>
      <c r="W21" s="6" t="str">
        <f>PROPER(TRIM(Table16[[#This Row],[Customer_Name]]))</f>
        <v>Trinity Store</v>
      </c>
      <c r="X21" s="6" t="str">
        <f>PROPER(TRIM(Table16[[#This Row],[Region]]))</f>
        <v>East</v>
      </c>
      <c r="Y21" s="6">
        <f>YEAR(Table16[[#This Row],[Date]])</f>
        <v>2026</v>
      </c>
      <c r="Z21" s="6">
        <f>MONTH(Table16[[#This Row],[Date]])</f>
        <v>2</v>
      </c>
      <c r="AA21" s="6" t="str">
        <f>MID(Table16[[#This Row],[Transaction_ID]],4,7)</f>
        <v>1020</v>
      </c>
      <c r="AB21" s="6" t="str">
        <f>_xlfn.CONCAT(Table16[[#This Row],[Region]],"-",Table16[[#This Row],[Category]])</f>
        <v>East-Fashion</v>
      </c>
    </row>
    <row r="22" spans="1:28">
      <c r="A22" s="4" t="s">
        <v>97</v>
      </c>
      <c r="B22" s="5">
        <v>46058</v>
      </c>
      <c r="C22" s="6" t="s">
        <v>14</v>
      </c>
      <c r="D22" s="6" t="s">
        <v>39</v>
      </c>
      <c r="E22" s="6" t="s">
        <v>98</v>
      </c>
      <c r="F22" s="6" t="s">
        <v>41</v>
      </c>
      <c r="G22" s="6" t="s">
        <v>99</v>
      </c>
      <c r="H22" s="6">
        <v>3</v>
      </c>
      <c r="I22" s="7">
        <v>9800</v>
      </c>
      <c r="J22" s="8">
        <v>0.05</v>
      </c>
      <c r="K22" s="6" t="s">
        <v>43</v>
      </c>
      <c r="L22" s="6" t="s">
        <v>20</v>
      </c>
      <c r="M22" s="6" t="s">
        <v>21</v>
      </c>
      <c r="N22" s="6">
        <f>Table16[[#This Row],[Quantity]]*Table16[[#This Row],[Unit_Price_INR]]</f>
        <v>29400</v>
      </c>
      <c r="O22" s="6">
        <f>Table16[[#This Row],[Gross sales]]*Table16[[#This Row],[Discount_Rate]]</f>
        <v>1470</v>
      </c>
      <c r="P22" s="6">
        <f>Table16[[#This Row],[Gross sales]]-Table16[[#This Row],[Discount_Amount]]</f>
        <v>27930</v>
      </c>
      <c r="Q22" s="6" t="str">
        <f>TEXT(Table16[[#This Row],[Date]],"mmmm")</f>
        <v>February</v>
      </c>
      <c r="R22" s="9" t="str">
        <f>IF(OR(Table16[[#This Row],[Status]]="Pending",Table16[[#This Row],[Status]]="Refunded"),"Review","OK")</f>
        <v>OK</v>
      </c>
      <c r="S22" s="6" t="str">
        <f>IF(Table16[[#This Row],[Net_Sales]]&gt;25000,"Hgh",IF(Table16[[#This Row],[Net_Sales]]&gt;10000,"Medium","Low"))</f>
        <v>Hgh</v>
      </c>
      <c r="T22" s="6" t="b">
        <f>AND(Table16[[#This Row],[Quantity]]&gt;=5,Table16[[#This Row],[Discount_Rate]]&gt;=10%)</f>
        <v>0</v>
      </c>
      <c r="U22" s="6" t="b">
        <f>OR(Table16[[#This Row],[Payment_Method]]="UPI",Table16[[#This Row],[Payment_Method]]="Cash")</f>
        <v>0</v>
      </c>
      <c r="V22" s="6">
        <f>IFERROR(Table16[[#This Row],[Net_Sales]]/Table16[[#This Row],[Quantity]],"ERROR")</f>
        <v>9310</v>
      </c>
      <c r="W22" s="6" t="str">
        <f>PROPER(TRIM(Table16[[#This Row],[Customer_Name]]))</f>
        <v>Unity Traders</v>
      </c>
      <c r="X22" s="6" t="str">
        <f>PROPER(TRIM(Table16[[#This Row],[Region]]))</f>
        <v>North</v>
      </c>
      <c r="Y22" s="6">
        <f>YEAR(Table16[[#This Row],[Date]])</f>
        <v>2026</v>
      </c>
      <c r="Z22" s="6">
        <f>MONTH(Table16[[#This Row],[Date]])</f>
        <v>2</v>
      </c>
      <c r="AA22" s="6" t="str">
        <f>MID(Table16[[#This Row],[Transaction_ID]],4,7)</f>
        <v>1021</v>
      </c>
      <c r="AB22" s="6" t="str">
        <f>_xlfn.CONCAT(Table16[[#This Row],[Region]],"-",Table16[[#This Row],[Category]])</f>
        <v>North-Office</v>
      </c>
    </row>
    <row r="23" spans="1:28" hidden="1">
      <c r="A23" s="10" t="s">
        <v>100</v>
      </c>
      <c r="B23" s="11">
        <v>46060</v>
      </c>
      <c r="C23" s="12" t="s">
        <v>23</v>
      </c>
      <c r="D23" s="12" t="s">
        <v>24</v>
      </c>
      <c r="E23" s="12" t="s">
        <v>101</v>
      </c>
      <c r="F23" s="12" t="s">
        <v>33</v>
      </c>
      <c r="G23" s="12" t="s">
        <v>102</v>
      </c>
      <c r="H23" s="12">
        <v>10</v>
      </c>
      <c r="I23" s="13">
        <v>480</v>
      </c>
      <c r="J23" s="14">
        <v>0</v>
      </c>
      <c r="K23" s="12" t="s">
        <v>28</v>
      </c>
      <c r="L23" s="12" t="s">
        <v>20</v>
      </c>
      <c r="M23" s="12" t="s">
        <v>52</v>
      </c>
      <c r="N23" s="6">
        <f>Table16[[#This Row],[Quantity]]*Table16[[#This Row],[Unit_Price_INR]]</f>
        <v>4800</v>
      </c>
      <c r="O23" s="6">
        <f>Table16[[#This Row],[Gross sales]]*Table16[[#This Row],[Discount_Rate]]</f>
        <v>0</v>
      </c>
      <c r="P23" s="6">
        <f>Table16[[#This Row],[Gross sales]]-Table16[[#This Row],[Discount_Amount]]</f>
        <v>4800</v>
      </c>
      <c r="Q23" s="6" t="str">
        <f>TEXT(Table16[[#This Row],[Date]],"mmmm")</f>
        <v>February</v>
      </c>
      <c r="R23" s="9" t="str">
        <f>IF(OR(Table16[[#This Row],[Status]]="Pending",Table16[[#This Row],[Status]]="Refunded"),"Review","OK")</f>
        <v>OK</v>
      </c>
      <c r="S23" s="6" t="str">
        <f>IF(Table16[[#This Row],[Net_Sales]]&gt;25000,"Hgh",IF(Table16[[#This Row],[Net_Sales]]&gt;10000,"Medium","Low"))</f>
        <v>Low</v>
      </c>
      <c r="T23" s="6" t="b">
        <f>AND(Table16[[#This Row],[Quantity]]&gt;=5,Table16[[#This Row],[Discount_Rate]]&gt;=10%)</f>
        <v>0</v>
      </c>
      <c r="U23" s="6" t="b">
        <f>OR(Table16[[#This Row],[Payment_Method]]="UPI",Table16[[#This Row],[Payment_Method]]="Cash")</f>
        <v>0</v>
      </c>
      <c r="V23" s="6">
        <f>IFERROR(Table16[[#This Row],[Net_Sales]]/Table16[[#This Row],[Quantity]],"ERROR")</f>
        <v>480</v>
      </c>
      <c r="W23" s="6" t="str">
        <f>PROPER(TRIM(Table16[[#This Row],[Customer_Name]]))</f>
        <v>Value Hub</v>
      </c>
      <c r="X23" s="6" t="str">
        <f>PROPER(TRIM(Table16[[#This Row],[Region]]))</f>
        <v>South</v>
      </c>
      <c r="Y23" s="6">
        <f>YEAR(Table16[[#This Row],[Date]])</f>
        <v>2026</v>
      </c>
      <c r="Z23" s="6">
        <f>MONTH(Table16[[#This Row],[Date]])</f>
        <v>2</v>
      </c>
      <c r="AA23" s="6" t="str">
        <f>MID(Table16[[#This Row],[Transaction_ID]],4,7)</f>
        <v>1022</v>
      </c>
      <c r="AB23" s="6" t="str">
        <f>_xlfn.CONCAT(Table16[[#This Row],[Region]],"-",Table16[[#This Row],[Category]])</f>
        <v>South-Grocery</v>
      </c>
    </row>
    <row r="24" spans="1:28">
      <c r="A24" s="4" t="s">
        <v>103</v>
      </c>
      <c r="B24" s="5">
        <v>46061</v>
      </c>
      <c r="C24" s="6" t="s">
        <v>31</v>
      </c>
      <c r="D24" s="6" t="s">
        <v>15</v>
      </c>
      <c r="E24" s="6" t="s">
        <v>104</v>
      </c>
      <c r="F24" s="6" t="s">
        <v>26</v>
      </c>
      <c r="G24" s="6" t="s">
        <v>105</v>
      </c>
      <c r="H24" s="6">
        <v>2</v>
      </c>
      <c r="I24" s="7">
        <v>16800</v>
      </c>
      <c r="J24" s="8">
        <v>7.0000000000000007E-2</v>
      </c>
      <c r="K24" s="6" t="s">
        <v>19</v>
      </c>
      <c r="L24" s="6" t="s">
        <v>20</v>
      </c>
      <c r="M24" s="6" t="s">
        <v>36</v>
      </c>
      <c r="N24" s="6">
        <f>Table16[[#This Row],[Quantity]]*Table16[[#This Row],[Unit_Price_INR]]</f>
        <v>33600</v>
      </c>
      <c r="O24" s="6">
        <f>Table16[[#This Row],[Gross sales]]*Table16[[#This Row],[Discount_Rate]]</f>
        <v>2352</v>
      </c>
      <c r="P24" s="6">
        <f>Table16[[#This Row],[Gross sales]]-Table16[[#This Row],[Discount_Amount]]</f>
        <v>31248</v>
      </c>
      <c r="Q24" s="6" t="str">
        <f>TEXT(Table16[[#This Row],[Date]],"mmmm")</f>
        <v>February</v>
      </c>
      <c r="R24" s="9" t="str">
        <f>IF(OR(Table16[[#This Row],[Status]]="Pending",Table16[[#This Row],[Status]]="Refunded"),"Review","OK")</f>
        <v>OK</v>
      </c>
      <c r="S24" s="6" t="str">
        <f>IF(Table16[[#This Row],[Net_Sales]]&gt;25000,"Hgh",IF(Table16[[#This Row],[Net_Sales]]&gt;10000,"Medium","Low"))</f>
        <v>Hgh</v>
      </c>
      <c r="T24" s="6" t="b">
        <f>AND(Table16[[#This Row],[Quantity]]&gt;=5,Table16[[#This Row],[Discount_Rate]]&gt;=10%)</f>
        <v>0</v>
      </c>
      <c r="U24" s="6" t="b">
        <f>OR(Table16[[#This Row],[Payment_Method]]="UPI",Table16[[#This Row],[Payment_Method]]="Cash")</f>
        <v>1</v>
      </c>
      <c r="V24" s="6">
        <f>IFERROR(Table16[[#This Row],[Net_Sales]]/Table16[[#This Row],[Quantity]],"ERROR")</f>
        <v>15624</v>
      </c>
      <c r="W24" s="6" t="str">
        <f>PROPER(TRIM(Table16[[#This Row],[Customer_Name]]))</f>
        <v>Willow Mart</v>
      </c>
      <c r="X24" s="6" t="str">
        <f>PROPER(TRIM(Table16[[#This Row],[Region]]))</f>
        <v>West</v>
      </c>
      <c r="Y24" s="6">
        <f>YEAR(Table16[[#This Row],[Date]])</f>
        <v>2026</v>
      </c>
      <c r="Z24" s="6">
        <f>MONTH(Table16[[#This Row],[Date]])</f>
        <v>2</v>
      </c>
      <c r="AA24" s="6" t="str">
        <f>MID(Table16[[#This Row],[Transaction_ID]],4,7)</f>
        <v>1023</v>
      </c>
      <c r="AB24" s="6" t="str">
        <f>_xlfn.CONCAT(Table16[[#This Row],[Region]],"-",Table16[[#This Row],[Category]])</f>
        <v>West-Home</v>
      </c>
    </row>
    <row r="25" spans="1:28">
      <c r="A25" s="10" t="s">
        <v>106</v>
      </c>
      <c r="B25" s="11">
        <v>46063</v>
      </c>
      <c r="C25" s="12" t="s">
        <v>38</v>
      </c>
      <c r="D25" s="12" t="s">
        <v>39</v>
      </c>
      <c r="E25" s="12" t="s">
        <v>107</v>
      </c>
      <c r="F25" s="12" t="s">
        <v>17</v>
      </c>
      <c r="G25" s="12" t="s">
        <v>108</v>
      </c>
      <c r="H25" s="12">
        <v>15</v>
      </c>
      <c r="I25" s="13">
        <v>950</v>
      </c>
      <c r="J25" s="14">
        <v>0.04</v>
      </c>
      <c r="K25" s="12" t="s">
        <v>43</v>
      </c>
      <c r="L25" s="12" t="s">
        <v>20</v>
      </c>
      <c r="M25" s="12" t="s">
        <v>44</v>
      </c>
      <c r="N25" s="6">
        <f>Table16[[#This Row],[Quantity]]*Table16[[#This Row],[Unit_Price_INR]]</f>
        <v>14250</v>
      </c>
      <c r="O25" s="6">
        <f>Table16[[#This Row],[Gross sales]]*Table16[[#This Row],[Discount_Rate]]</f>
        <v>570</v>
      </c>
      <c r="P25" s="6">
        <f>Table16[[#This Row],[Gross sales]]-Table16[[#This Row],[Discount_Amount]]</f>
        <v>13680</v>
      </c>
      <c r="Q25" s="6" t="str">
        <f>TEXT(Table16[[#This Row],[Date]],"mmmm")</f>
        <v>February</v>
      </c>
      <c r="R25" s="9" t="str">
        <f>IF(OR(Table16[[#This Row],[Status]]="Pending",Table16[[#This Row],[Status]]="Refunded"),"Review","OK")</f>
        <v>OK</v>
      </c>
      <c r="S25" s="6" t="str">
        <f>IF(Table16[[#This Row],[Net_Sales]]&gt;25000,"Hgh",IF(Table16[[#This Row],[Net_Sales]]&gt;10000,"Medium","Low"))</f>
        <v>Medium</v>
      </c>
      <c r="T25" s="6" t="b">
        <f>AND(Table16[[#This Row],[Quantity]]&gt;=5,Table16[[#This Row],[Discount_Rate]]&gt;=10%)</f>
        <v>0</v>
      </c>
      <c r="U25" s="6" t="b">
        <f>OR(Table16[[#This Row],[Payment_Method]]="UPI",Table16[[#This Row],[Payment_Method]]="Cash")</f>
        <v>0</v>
      </c>
      <c r="V25" s="6">
        <f>IFERROR(Table16[[#This Row],[Net_Sales]]/Table16[[#This Row],[Quantity]],"ERROR")</f>
        <v>912</v>
      </c>
      <c r="W25" s="6" t="str">
        <f>PROPER(TRIM(Table16[[#This Row],[Customer_Name]]))</f>
        <v>Xpress Distributors</v>
      </c>
      <c r="X25" s="6" t="str">
        <f>PROPER(TRIM(Table16[[#This Row],[Region]]))</f>
        <v>East</v>
      </c>
      <c r="Y25" s="6">
        <f>YEAR(Table16[[#This Row],[Date]])</f>
        <v>2026</v>
      </c>
      <c r="Z25" s="6">
        <f>MONTH(Table16[[#This Row],[Date]])</f>
        <v>2</v>
      </c>
      <c r="AA25" s="6" t="str">
        <f>MID(Table16[[#This Row],[Transaction_ID]],4,7)</f>
        <v>1024</v>
      </c>
      <c r="AB25" s="6" t="str">
        <f>_xlfn.CONCAT(Table16[[#This Row],[Region]],"-",Table16[[#This Row],[Category]])</f>
        <v>East-Electronics</v>
      </c>
    </row>
    <row r="26" spans="1:28">
      <c r="A26" s="4" t="s">
        <v>109</v>
      </c>
      <c r="B26" s="5">
        <v>46065</v>
      </c>
      <c r="C26" s="6" t="s">
        <v>14</v>
      </c>
      <c r="D26" s="6" t="s">
        <v>24</v>
      </c>
      <c r="E26" s="6" t="s">
        <v>110</v>
      </c>
      <c r="F26" s="6" t="s">
        <v>47</v>
      </c>
      <c r="G26" s="6" t="s">
        <v>111</v>
      </c>
      <c r="H26" s="6">
        <v>9</v>
      </c>
      <c r="I26" s="7">
        <v>1750</v>
      </c>
      <c r="J26" s="8">
        <v>0.15</v>
      </c>
      <c r="K26" s="6" t="s">
        <v>28</v>
      </c>
      <c r="L26" s="6" t="s">
        <v>20</v>
      </c>
      <c r="M26" s="6" t="s">
        <v>21</v>
      </c>
      <c r="N26" s="6">
        <f>Table16[[#This Row],[Quantity]]*Table16[[#This Row],[Unit_Price_INR]]</f>
        <v>15750</v>
      </c>
      <c r="O26" s="6">
        <f>Table16[[#This Row],[Gross sales]]*Table16[[#This Row],[Discount_Rate]]</f>
        <v>2362.5</v>
      </c>
      <c r="P26" s="6">
        <f>Table16[[#This Row],[Gross sales]]-Table16[[#This Row],[Discount_Amount]]</f>
        <v>13387.5</v>
      </c>
      <c r="Q26" s="6" t="str">
        <f>TEXT(Table16[[#This Row],[Date]],"mmmm")</f>
        <v>February</v>
      </c>
      <c r="R26" s="9" t="str">
        <f>IF(OR(Table16[[#This Row],[Status]]="Pending",Table16[[#This Row],[Status]]="Refunded"),"Review","OK")</f>
        <v>OK</v>
      </c>
      <c r="S26" s="6" t="str">
        <f>IF(Table16[[#This Row],[Net_Sales]]&gt;25000,"Hgh",IF(Table16[[#This Row],[Net_Sales]]&gt;10000,"Medium","Low"))</f>
        <v>Medium</v>
      </c>
      <c r="T26" s="6" t="b">
        <f>AND(Table16[[#This Row],[Quantity]]&gt;=5,Table16[[#This Row],[Discount_Rate]]&gt;=10%)</f>
        <v>1</v>
      </c>
      <c r="U26" s="6" t="b">
        <f>OR(Table16[[#This Row],[Payment_Method]]="UPI",Table16[[#This Row],[Payment_Method]]="Cash")</f>
        <v>0</v>
      </c>
      <c r="V26" s="6">
        <f>IFERROR(Table16[[#This Row],[Net_Sales]]/Table16[[#This Row],[Quantity]],"ERROR")</f>
        <v>1487.5</v>
      </c>
      <c r="W26" s="6" t="str">
        <f>PROPER(TRIM(Table16[[#This Row],[Customer_Name]]))</f>
        <v>Yellow Basket</v>
      </c>
      <c r="X26" s="6" t="str">
        <f>PROPER(TRIM(Table16[[#This Row],[Region]]))</f>
        <v>North</v>
      </c>
      <c r="Y26" s="6">
        <f>YEAR(Table16[[#This Row],[Date]])</f>
        <v>2026</v>
      </c>
      <c r="Z26" s="6">
        <f>MONTH(Table16[[#This Row],[Date]])</f>
        <v>2</v>
      </c>
      <c r="AA26" s="6" t="str">
        <f>MID(Table16[[#This Row],[Transaction_ID]],4,7)</f>
        <v>1025</v>
      </c>
      <c r="AB26" s="6" t="str">
        <f>_xlfn.CONCAT(Table16[[#This Row],[Region]],"-",Table16[[#This Row],[Category]])</f>
        <v>North-Fashion</v>
      </c>
    </row>
    <row r="27" spans="1:28" hidden="1">
      <c r="A27" s="10" t="s">
        <v>112</v>
      </c>
      <c r="B27" s="11">
        <v>46067</v>
      </c>
      <c r="C27" s="12" t="s">
        <v>23</v>
      </c>
      <c r="D27" s="12" t="s">
        <v>15</v>
      </c>
      <c r="E27" s="12" t="s">
        <v>113</v>
      </c>
      <c r="F27" s="12" t="s">
        <v>41</v>
      </c>
      <c r="G27" s="12" t="s">
        <v>114</v>
      </c>
      <c r="H27" s="12">
        <v>12</v>
      </c>
      <c r="I27" s="13">
        <v>850</v>
      </c>
      <c r="J27" s="14">
        <v>0.03</v>
      </c>
      <c r="K27" s="12" t="s">
        <v>35</v>
      </c>
      <c r="L27" s="12" t="s">
        <v>20</v>
      </c>
      <c r="M27" s="12" t="s">
        <v>52</v>
      </c>
      <c r="N27" s="6">
        <f>Table16[[#This Row],[Quantity]]*Table16[[#This Row],[Unit_Price_INR]]</f>
        <v>10200</v>
      </c>
      <c r="O27" s="6">
        <f>Table16[[#This Row],[Gross sales]]*Table16[[#This Row],[Discount_Rate]]</f>
        <v>306</v>
      </c>
      <c r="P27" s="6">
        <f>Table16[[#This Row],[Gross sales]]-Table16[[#This Row],[Discount_Amount]]</f>
        <v>9894</v>
      </c>
      <c r="Q27" s="6" t="str">
        <f>TEXT(Table16[[#This Row],[Date]],"mmmm")</f>
        <v>February</v>
      </c>
      <c r="R27" s="9" t="str">
        <f>IF(OR(Table16[[#This Row],[Status]]="Pending",Table16[[#This Row],[Status]]="Refunded"),"Review","OK")</f>
        <v>OK</v>
      </c>
      <c r="S27" s="6" t="str">
        <f>IF(Table16[[#This Row],[Net_Sales]]&gt;25000,"Hgh",IF(Table16[[#This Row],[Net_Sales]]&gt;10000,"Medium","Low"))</f>
        <v>Low</v>
      </c>
      <c r="T27" s="6" t="b">
        <f>AND(Table16[[#This Row],[Quantity]]&gt;=5,Table16[[#This Row],[Discount_Rate]]&gt;=10%)</f>
        <v>0</v>
      </c>
      <c r="U27" s="6" t="b">
        <f>OR(Table16[[#This Row],[Payment_Method]]="UPI",Table16[[#This Row],[Payment_Method]]="Cash")</f>
        <v>1</v>
      </c>
      <c r="V27" s="6">
        <f>IFERROR(Table16[[#This Row],[Net_Sales]]/Table16[[#This Row],[Quantity]],"ERROR")</f>
        <v>824.5</v>
      </c>
      <c r="W27" s="6" t="str">
        <f>PROPER(TRIM(Table16[[#This Row],[Customer_Name]]))</f>
        <v>Zenith Shop</v>
      </c>
      <c r="X27" s="6" t="str">
        <f>PROPER(TRIM(Table16[[#This Row],[Region]]))</f>
        <v>South</v>
      </c>
      <c r="Y27" s="6">
        <f>YEAR(Table16[[#This Row],[Date]])</f>
        <v>2026</v>
      </c>
      <c r="Z27" s="6">
        <f>MONTH(Table16[[#This Row],[Date]])</f>
        <v>2</v>
      </c>
      <c r="AA27" s="6" t="str">
        <f>MID(Table16[[#This Row],[Transaction_ID]],4,7)</f>
        <v>1026</v>
      </c>
      <c r="AB27" s="6" t="str">
        <f>_xlfn.CONCAT(Table16[[#This Row],[Region]],"-",Table16[[#This Row],[Category]])</f>
        <v>South-Office</v>
      </c>
    </row>
    <row r="28" spans="1:28" hidden="1">
      <c r="A28" s="4" t="s">
        <v>115</v>
      </c>
      <c r="B28" s="5">
        <v>46069</v>
      </c>
      <c r="C28" s="6" t="s">
        <v>31</v>
      </c>
      <c r="D28" s="6" t="s">
        <v>39</v>
      </c>
      <c r="E28" s="6" t="s">
        <v>116</v>
      </c>
      <c r="F28" s="6" t="s">
        <v>33</v>
      </c>
      <c r="G28" s="6" t="s">
        <v>117</v>
      </c>
      <c r="H28" s="6">
        <v>18</v>
      </c>
      <c r="I28" s="7">
        <v>720</v>
      </c>
      <c r="J28" s="8">
        <v>0</v>
      </c>
      <c r="K28" s="6" t="s">
        <v>43</v>
      </c>
      <c r="L28" s="6" t="s">
        <v>118</v>
      </c>
      <c r="M28" s="6" t="s">
        <v>36</v>
      </c>
      <c r="N28" s="6">
        <f>Table16[[#This Row],[Quantity]]*Table16[[#This Row],[Unit_Price_INR]]</f>
        <v>12960</v>
      </c>
      <c r="O28" s="6">
        <f>Table16[[#This Row],[Gross sales]]*Table16[[#This Row],[Discount_Rate]]</f>
        <v>0</v>
      </c>
      <c r="P28" s="6">
        <f>Table16[[#This Row],[Gross sales]]-Table16[[#This Row],[Discount_Amount]]</f>
        <v>12960</v>
      </c>
      <c r="Q28" s="6" t="str">
        <f>TEXT(Table16[[#This Row],[Date]],"mmmm")</f>
        <v>February</v>
      </c>
      <c r="R28" s="9" t="str">
        <f>IF(OR(Table16[[#This Row],[Status]]="Pending",Table16[[#This Row],[Status]]="Refunded"),"Review","OK")</f>
        <v>OK</v>
      </c>
      <c r="S28" s="6" t="str">
        <f>IF(Table16[[#This Row],[Net_Sales]]&gt;25000,"Hgh",IF(Table16[[#This Row],[Net_Sales]]&gt;10000,"Medium","Low"))</f>
        <v>Medium</v>
      </c>
      <c r="T28" s="6" t="b">
        <f>AND(Table16[[#This Row],[Quantity]]&gt;=5,Table16[[#This Row],[Discount_Rate]]&gt;=10%)</f>
        <v>0</v>
      </c>
      <c r="U28" s="6" t="b">
        <f>OR(Table16[[#This Row],[Payment_Method]]="UPI",Table16[[#This Row],[Payment_Method]]="Cash")</f>
        <v>0</v>
      </c>
      <c r="V28" s="6">
        <f>IFERROR(Table16[[#This Row],[Net_Sales]]/Table16[[#This Row],[Quantity]],"ERROR")</f>
        <v>720</v>
      </c>
      <c r="W28" s="6" t="str">
        <f>PROPER(TRIM(Table16[[#This Row],[Customer_Name]]))</f>
        <v>Apex Traders</v>
      </c>
      <c r="X28" s="6" t="str">
        <f>PROPER(TRIM(Table16[[#This Row],[Region]]))</f>
        <v>West</v>
      </c>
      <c r="Y28" s="6">
        <f>YEAR(Table16[[#This Row],[Date]])</f>
        <v>2026</v>
      </c>
      <c r="Z28" s="6">
        <f>MONTH(Table16[[#This Row],[Date]])</f>
        <v>2</v>
      </c>
      <c r="AA28" s="6" t="str">
        <f>MID(Table16[[#This Row],[Transaction_ID]],4,7)</f>
        <v>1027</v>
      </c>
      <c r="AB28" s="6" t="str">
        <f>_xlfn.CONCAT(Table16[[#This Row],[Region]],"-",Table16[[#This Row],[Category]])</f>
        <v>West-Grocery</v>
      </c>
    </row>
    <row r="29" spans="1:28">
      <c r="A29" s="10" t="s">
        <v>119</v>
      </c>
      <c r="B29" s="11">
        <v>46071</v>
      </c>
      <c r="C29" s="12" t="s">
        <v>38</v>
      </c>
      <c r="D29" s="12" t="s">
        <v>24</v>
      </c>
      <c r="E29" s="12" t="s">
        <v>120</v>
      </c>
      <c r="F29" s="12" t="s">
        <v>26</v>
      </c>
      <c r="G29" s="12" t="s">
        <v>121</v>
      </c>
      <c r="H29" s="12">
        <v>6</v>
      </c>
      <c r="I29" s="13">
        <v>2600</v>
      </c>
      <c r="J29" s="14">
        <v>0.08</v>
      </c>
      <c r="K29" s="12" t="s">
        <v>19</v>
      </c>
      <c r="L29" s="12" t="s">
        <v>20</v>
      </c>
      <c r="M29" s="12" t="s">
        <v>44</v>
      </c>
      <c r="N29" s="6">
        <f>Table16[[#This Row],[Quantity]]*Table16[[#This Row],[Unit_Price_INR]]</f>
        <v>15600</v>
      </c>
      <c r="O29" s="6">
        <f>Table16[[#This Row],[Gross sales]]*Table16[[#This Row],[Discount_Rate]]</f>
        <v>1248</v>
      </c>
      <c r="P29" s="6">
        <f>Table16[[#This Row],[Gross sales]]-Table16[[#This Row],[Discount_Amount]]</f>
        <v>14352</v>
      </c>
      <c r="Q29" s="6" t="str">
        <f>TEXT(Table16[[#This Row],[Date]],"mmmm")</f>
        <v>February</v>
      </c>
      <c r="R29" s="9" t="str">
        <f>IF(OR(Table16[[#This Row],[Status]]="Pending",Table16[[#This Row],[Status]]="Refunded"),"Review","OK")</f>
        <v>OK</v>
      </c>
      <c r="S29" s="6" t="str">
        <f>IF(Table16[[#This Row],[Net_Sales]]&gt;25000,"Hgh",IF(Table16[[#This Row],[Net_Sales]]&gt;10000,"Medium","Low"))</f>
        <v>Medium</v>
      </c>
      <c r="T29" s="6" t="b">
        <f>AND(Table16[[#This Row],[Quantity]]&gt;=5,Table16[[#This Row],[Discount_Rate]]&gt;=10%)</f>
        <v>0</v>
      </c>
      <c r="U29" s="6" t="b">
        <f>OR(Table16[[#This Row],[Payment_Method]]="UPI",Table16[[#This Row],[Payment_Method]]="Cash")</f>
        <v>1</v>
      </c>
      <c r="V29" s="6">
        <f>IFERROR(Table16[[#This Row],[Net_Sales]]/Table16[[#This Row],[Quantity]],"ERROR")</f>
        <v>2392</v>
      </c>
      <c r="W29" s="6" t="str">
        <f>PROPER(TRIM(Table16[[#This Row],[Customer_Name]]))</f>
        <v>Bluebird Store</v>
      </c>
      <c r="X29" s="6" t="str">
        <f>PROPER(TRIM(Table16[[#This Row],[Region]]))</f>
        <v>East</v>
      </c>
      <c r="Y29" s="6">
        <f>YEAR(Table16[[#This Row],[Date]])</f>
        <v>2026</v>
      </c>
      <c r="Z29" s="6">
        <f>MONTH(Table16[[#This Row],[Date]])</f>
        <v>2</v>
      </c>
      <c r="AA29" s="6" t="str">
        <f>MID(Table16[[#This Row],[Transaction_ID]],4,7)</f>
        <v>1028</v>
      </c>
      <c r="AB29" s="6" t="str">
        <f>_xlfn.CONCAT(Table16[[#This Row],[Region]],"-",Table16[[#This Row],[Category]])</f>
        <v>East-Home</v>
      </c>
    </row>
    <row r="30" spans="1:28">
      <c r="A30" s="4" t="s">
        <v>122</v>
      </c>
      <c r="B30" s="5">
        <v>46073</v>
      </c>
      <c r="C30" s="6" t="s">
        <v>14</v>
      </c>
      <c r="D30" s="6" t="s">
        <v>15</v>
      </c>
      <c r="E30" s="6" t="s">
        <v>123</v>
      </c>
      <c r="F30" s="6" t="s">
        <v>17</v>
      </c>
      <c r="G30" s="6" t="s">
        <v>124</v>
      </c>
      <c r="H30" s="6">
        <v>14</v>
      </c>
      <c r="I30" s="7">
        <v>1100</v>
      </c>
      <c r="J30" s="8">
        <v>0.05</v>
      </c>
      <c r="K30" s="6" t="s">
        <v>28</v>
      </c>
      <c r="L30" s="6" t="s">
        <v>20</v>
      </c>
      <c r="M30" s="6" t="s">
        <v>21</v>
      </c>
      <c r="N30" s="6">
        <f>Table16[[#This Row],[Quantity]]*Table16[[#This Row],[Unit_Price_INR]]</f>
        <v>15400</v>
      </c>
      <c r="O30" s="6">
        <f>Table16[[#This Row],[Gross sales]]*Table16[[#This Row],[Discount_Rate]]</f>
        <v>770</v>
      </c>
      <c r="P30" s="6">
        <f>Table16[[#This Row],[Gross sales]]-Table16[[#This Row],[Discount_Amount]]</f>
        <v>14630</v>
      </c>
      <c r="Q30" s="6" t="str">
        <f>TEXT(Table16[[#This Row],[Date]],"mmmm")</f>
        <v>February</v>
      </c>
      <c r="R30" s="9" t="str">
        <f>IF(OR(Table16[[#This Row],[Status]]="Pending",Table16[[#This Row],[Status]]="Refunded"),"Review","OK")</f>
        <v>OK</v>
      </c>
      <c r="S30" s="6" t="str">
        <f>IF(Table16[[#This Row],[Net_Sales]]&gt;25000,"Hgh",IF(Table16[[#This Row],[Net_Sales]]&gt;10000,"Medium","Low"))</f>
        <v>Medium</v>
      </c>
      <c r="T30" s="6" t="b">
        <f>AND(Table16[[#This Row],[Quantity]]&gt;=5,Table16[[#This Row],[Discount_Rate]]&gt;=10%)</f>
        <v>0</v>
      </c>
      <c r="U30" s="6" t="b">
        <f>OR(Table16[[#This Row],[Payment_Method]]="UPI",Table16[[#This Row],[Payment_Method]]="Cash")</f>
        <v>0</v>
      </c>
      <c r="V30" s="6">
        <f>IFERROR(Table16[[#This Row],[Net_Sales]]/Table16[[#This Row],[Quantity]],"ERROR")</f>
        <v>1045</v>
      </c>
      <c r="W30" s="6" t="str">
        <f>PROPER(TRIM(Table16[[#This Row],[Customer_Name]]))</f>
        <v>Coral Market</v>
      </c>
      <c r="X30" s="6" t="str">
        <f>PROPER(TRIM(Table16[[#This Row],[Region]]))</f>
        <v>North</v>
      </c>
      <c r="Y30" s="6">
        <f>YEAR(Table16[[#This Row],[Date]])</f>
        <v>2026</v>
      </c>
      <c r="Z30" s="6">
        <f>MONTH(Table16[[#This Row],[Date]])</f>
        <v>2</v>
      </c>
      <c r="AA30" s="6" t="str">
        <f>MID(Table16[[#This Row],[Transaction_ID]],4,7)</f>
        <v>1029</v>
      </c>
      <c r="AB30" s="6" t="str">
        <f>_xlfn.CONCAT(Table16[[#This Row],[Region]],"-",Table16[[#This Row],[Category]])</f>
        <v>North-Electronics</v>
      </c>
    </row>
    <row r="31" spans="1:28">
      <c r="A31" s="10" t="s">
        <v>125</v>
      </c>
      <c r="B31" s="11">
        <v>46075</v>
      </c>
      <c r="C31" s="12" t="s">
        <v>23</v>
      </c>
      <c r="D31" s="12" t="s">
        <v>39</v>
      </c>
      <c r="E31" s="12" t="s">
        <v>126</v>
      </c>
      <c r="F31" s="12" t="s">
        <v>47</v>
      </c>
      <c r="G31" s="12" t="s">
        <v>127</v>
      </c>
      <c r="H31" s="12">
        <v>5</v>
      </c>
      <c r="I31" s="13">
        <v>2800</v>
      </c>
      <c r="J31" s="14">
        <v>0.12</v>
      </c>
      <c r="K31" s="12" t="s">
        <v>43</v>
      </c>
      <c r="L31" s="12" t="s">
        <v>20</v>
      </c>
      <c r="M31" s="12" t="s">
        <v>29</v>
      </c>
      <c r="N31" s="6">
        <f>Table16[[#This Row],[Quantity]]*Table16[[#This Row],[Unit_Price_INR]]</f>
        <v>14000</v>
      </c>
      <c r="O31" s="6">
        <f>Table16[[#This Row],[Gross sales]]*Table16[[#This Row],[Discount_Rate]]</f>
        <v>1680</v>
      </c>
      <c r="P31" s="6">
        <f>Table16[[#This Row],[Gross sales]]-Table16[[#This Row],[Discount_Amount]]</f>
        <v>12320</v>
      </c>
      <c r="Q31" s="6" t="str">
        <f>TEXT(Table16[[#This Row],[Date]],"mmmm")</f>
        <v>February</v>
      </c>
      <c r="R31" s="9" t="str">
        <f>IF(OR(Table16[[#This Row],[Status]]="Pending",Table16[[#This Row],[Status]]="Refunded"),"Review","OK")</f>
        <v>OK</v>
      </c>
      <c r="S31" s="6" t="str">
        <f>IF(Table16[[#This Row],[Net_Sales]]&gt;25000,"Hgh",IF(Table16[[#This Row],[Net_Sales]]&gt;10000,"Medium","Low"))</f>
        <v>Medium</v>
      </c>
      <c r="T31" s="6" t="b">
        <f>AND(Table16[[#This Row],[Quantity]]&gt;=5,Table16[[#This Row],[Discount_Rate]]&gt;=10%)</f>
        <v>1</v>
      </c>
      <c r="U31" s="6" t="b">
        <f>OR(Table16[[#This Row],[Payment_Method]]="UPI",Table16[[#This Row],[Payment_Method]]="Cash")</f>
        <v>0</v>
      </c>
      <c r="V31" s="6">
        <f>IFERROR(Table16[[#This Row],[Net_Sales]]/Table16[[#This Row],[Quantity]],"ERROR")</f>
        <v>2464</v>
      </c>
      <c r="W31" s="6" t="str">
        <f>PROPER(TRIM(Table16[[#This Row],[Customer_Name]]))</f>
        <v>Dawn Distributors</v>
      </c>
      <c r="X31" s="6" t="str">
        <f>PROPER(TRIM(Table16[[#This Row],[Region]]))</f>
        <v>South</v>
      </c>
      <c r="Y31" s="6">
        <f>YEAR(Table16[[#This Row],[Date]])</f>
        <v>2026</v>
      </c>
      <c r="Z31" s="6">
        <f>MONTH(Table16[[#This Row],[Date]])</f>
        <v>2</v>
      </c>
      <c r="AA31" s="6" t="str">
        <f>MID(Table16[[#This Row],[Transaction_ID]],4,7)</f>
        <v>1030</v>
      </c>
      <c r="AB31" s="6" t="str">
        <f>_xlfn.CONCAT(Table16[[#This Row],[Region]],"-",Table16[[#This Row],[Category]])</f>
        <v>South-Fashion</v>
      </c>
    </row>
    <row r="32" spans="1:28">
      <c r="A32" s="4" t="s">
        <v>128</v>
      </c>
      <c r="B32" s="5">
        <v>46082</v>
      </c>
      <c r="C32" s="6" t="s">
        <v>31</v>
      </c>
      <c r="D32" s="6" t="s">
        <v>24</v>
      </c>
      <c r="E32" s="6" t="s">
        <v>129</v>
      </c>
      <c r="F32" s="6" t="s">
        <v>17</v>
      </c>
      <c r="G32" s="6" t="s">
        <v>130</v>
      </c>
      <c r="H32" s="6">
        <v>7</v>
      </c>
      <c r="I32" s="7">
        <v>6400</v>
      </c>
      <c r="J32" s="8">
        <v>0.1</v>
      </c>
      <c r="K32" s="6" t="s">
        <v>28</v>
      </c>
      <c r="L32" s="6" t="s">
        <v>20</v>
      </c>
      <c r="M32" s="6" t="s">
        <v>36</v>
      </c>
      <c r="N32" s="6">
        <f>Table16[[#This Row],[Quantity]]*Table16[[#This Row],[Unit_Price_INR]]</f>
        <v>44800</v>
      </c>
      <c r="O32" s="6">
        <f>Table16[[#This Row],[Gross sales]]*Table16[[#This Row],[Discount_Rate]]</f>
        <v>4480</v>
      </c>
      <c r="P32" s="6">
        <f>Table16[[#This Row],[Gross sales]]-Table16[[#This Row],[Discount_Amount]]</f>
        <v>40320</v>
      </c>
      <c r="Q32" s="6" t="str">
        <f>TEXT(Table16[[#This Row],[Date]],"mmmm")</f>
        <v>March</v>
      </c>
      <c r="R32" s="9" t="str">
        <f>IF(OR(Table16[[#This Row],[Status]]="Pending",Table16[[#This Row],[Status]]="Refunded"),"Review","OK")</f>
        <v>OK</v>
      </c>
      <c r="S32" s="6" t="str">
        <f>IF(Table16[[#This Row],[Net_Sales]]&gt;25000,"Hgh",IF(Table16[[#This Row],[Net_Sales]]&gt;10000,"Medium","Low"))</f>
        <v>Hgh</v>
      </c>
      <c r="T32" s="6" t="b">
        <f>AND(Table16[[#This Row],[Quantity]]&gt;=5,Table16[[#This Row],[Discount_Rate]]&gt;=10%)</f>
        <v>1</v>
      </c>
      <c r="U32" s="6" t="b">
        <f>OR(Table16[[#This Row],[Payment_Method]]="UPI",Table16[[#This Row],[Payment_Method]]="Cash")</f>
        <v>0</v>
      </c>
      <c r="V32" s="6">
        <f>IFERROR(Table16[[#This Row],[Net_Sales]]/Table16[[#This Row],[Quantity]],"ERROR")</f>
        <v>5760</v>
      </c>
      <c r="W32" s="6" t="str">
        <f>PROPER(TRIM(Table16[[#This Row],[Customer_Name]]))</f>
        <v>Elm Retail</v>
      </c>
      <c r="X32" s="6" t="str">
        <f>PROPER(TRIM(Table16[[#This Row],[Region]]))</f>
        <v>West</v>
      </c>
      <c r="Y32" s="6">
        <f>YEAR(Table16[[#This Row],[Date]])</f>
        <v>2026</v>
      </c>
      <c r="Z32" s="6">
        <f>MONTH(Table16[[#This Row],[Date]])</f>
        <v>3</v>
      </c>
      <c r="AA32" s="6" t="str">
        <f>MID(Table16[[#This Row],[Transaction_ID]],4,7)</f>
        <v>1031</v>
      </c>
      <c r="AB32" s="6" t="str">
        <f>_xlfn.CONCAT(Table16[[#This Row],[Region]],"-",Table16[[#This Row],[Category]])</f>
        <v>West-Electronics</v>
      </c>
    </row>
    <row r="33" spans="1:28" hidden="1">
      <c r="A33" s="10" t="s">
        <v>131</v>
      </c>
      <c r="B33" s="11">
        <v>46084</v>
      </c>
      <c r="C33" s="12" t="s">
        <v>38</v>
      </c>
      <c r="D33" s="12" t="s">
        <v>15</v>
      </c>
      <c r="E33" s="12" t="s">
        <v>132</v>
      </c>
      <c r="F33" s="12" t="s">
        <v>33</v>
      </c>
      <c r="G33" s="12" t="s">
        <v>133</v>
      </c>
      <c r="H33" s="12">
        <v>16</v>
      </c>
      <c r="I33" s="13">
        <v>540</v>
      </c>
      <c r="J33" s="14">
        <v>0.02</v>
      </c>
      <c r="K33" s="12" t="s">
        <v>19</v>
      </c>
      <c r="L33" s="12" t="s">
        <v>20</v>
      </c>
      <c r="M33" s="12" t="s">
        <v>44</v>
      </c>
      <c r="N33" s="6">
        <f>Table16[[#This Row],[Quantity]]*Table16[[#This Row],[Unit_Price_INR]]</f>
        <v>8640</v>
      </c>
      <c r="O33" s="6">
        <f>Table16[[#This Row],[Gross sales]]*Table16[[#This Row],[Discount_Rate]]</f>
        <v>172.8</v>
      </c>
      <c r="P33" s="6">
        <f>Table16[[#This Row],[Gross sales]]-Table16[[#This Row],[Discount_Amount]]</f>
        <v>8467.2000000000007</v>
      </c>
      <c r="Q33" s="6" t="str">
        <f>TEXT(Table16[[#This Row],[Date]],"mmmm")</f>
        <v>March</v>
      </c>
      <c r="R33" s="9" t="str">
        <f>IF(OR(Table16[[#This Row],[Status]]="Pending",Table16[[#This Row],[Status]]="Refunded"),"Review","OK")</f>
        <v>OK</v>
      </c>
      <c r="S33" s="6" t="str">
        <f>IF(Table16[[#This Row],[Net_Sales]]&gt;25000,"Hgh",IF(Table16[[#This Row],[Net_Sales]]&gt;10000,"Medium","Low"))</f>
        <v>Low</v>
      </c>
      <c r="T33" s="6" t="b">
        <f>AND(Table16[[#This Row],[Quantity]]&gt;=5,Table16[[#This Row],[Discount_Rate]]&gt;=10%)</f>
        <v>0</v>
      </c>
      <c r="U33" s="6" t="b">
        <f>OR(Table16[[#This Row],[Payment_Method]]="UPI",Table16[[#This Row],[Payment_Method]]="Cash")</f>
        <v>1</v>
      </c>
      <c r="V33" s="6">
        <f>IFERROR(Table16[[#This Row],[Net_Sales]]/Table16[[#This Row],[Quantity]],"ERROR")</f>
        <v>529.20000000000005</v>
      </c>
      <c r="W33" s="6" t="str">
        <f>PROPER(TRIM(Table16[[#This Row],[Customer_Name]]))</f>
        <v>Fern Stores</v>
      </c>
      <c r="X33" s="6" t="str">
        <f>PROPER(TRIM(Table16[[#This Row],[Region]]))</f>
        <v>East</v>
      </c>
      <c r="Y33" s="6">
        <f>YEAR(Table16[[#This Row],[Date]])</f>
        <v>2026</v>
      </c>
      <c r="Z33" s="6">
        <f>MONTH(Table16[[#This Row],[Date]])</f>
        <v>3</v>
      </c>
      <c r="AA33" s="6" t="str">
        <f>MID(Table16[[#This Row],[Transaction_ID]],4,7)</f>
        <v>1032</v>
      </c>
      <c r="AB33" s="6" t="str">
        <f>_xlfn.CONCAT(Table16[[#This Row],[Region]],"-",Table16[[#This Row],[Category]])</f>
        <v>East-Grocery</v>
      </c>
    </row>
    <row r="34" spans="1:28">
      <c r="A34" s="4" t="s">
        <v>134</v>
      </c>
      <c r="B34" s="5">
        <v>46085</v>
      </c>
      <c r="C34" s="6" t="s">
        <v>14</v>
      </c>
      <c r="D34" s="6" t="s">
        <v>39</v>
      </c>
      <c r="E34" s="6" t="s">
        <v>135</v>
      </c>
      <c r="F34" s="6" t="s">
        <v>26</v>
      </c>
      <c r="G34" s="6" t="s">
        <v>136</v>
      </c>
      <c r="H34" s="6">
        <v>2</v>
      </c>
      <c r="I34" s="7">
        <v>38500</v>
      </c>
      <c r="J34" s="8">
        <v>0.06</v>
      </c>
      <c r="K34" s="6" t="s">
        <v>43</v>
      </c>
      <c r="L34" s="6" t="s">
        <v>20</v>
      </c>
      <c r="M34" s="6" t="s">
        <v>21</v>
      </c>
      <c r="N34" s="6">
        <f>Table16[[#This Row],[Quantity]]*Table16[[#This Row],[Unit_Price_INR]]</f>
        <v>77000</v>
      </c>
      <c r="O34" s="6">
        <f>Table16[[#This Row],[Gross sales]]*Table16[[#This Row],[Discount_Rate]]</f>
        <v>4620</v>
      </c>
      <c r="P34" s="6">
        <f>Table16[[#This Row],[Gross sales]]-Table16[[#This Row],[Discount_Amount]]</f>
        <v>72380</v>
      </c>
      <c r="Q34" s="6" t="str">
        <f>TEXT(Table16[[#This Row],[Date]],"mmmm")</f>
        <v>March</v>
      </c>
      <c r="R34" s="9" t="str">
        <f>IF(OR(Table16[[#This Row],[Status]]="Pending",Table16[[#This Row],[Status]]="Refunded"),"Review","OK")</f>
        <v>OK</v>
      </c>
      <c r="S34" s="6" t="str">
        <f>IF(Table16[[#This Row],[Net_Sales]]&gt;25000,"Hgh",IF(Table16[[#This Row],[Net_Sales]]&gt;10000,"Medium","Low"))</f>
        <v>Hgh</v>
      </c>
      <c r="T34" s="6" t="b">
        <f>AND(Table16[[#This Row],[Quantity]]&gt;=5,Table16[[#This Row],[Discount_Rate]]&gt;=10%)</f>
        <v>0</v>
      </c>
      <c r="U34" s="6" t="b">
        <f>OR(Table16[[#This Row],[Payment_Method]]="UPI",Table16[[#This Row],[Payment_Method]]="Cash")</f>
        <v>0</v>
      </c>
      <c r="V34" s="6">
        <f>IFERROR(Table16[[#This Row],[Net_Sales]]/Table16[[#This Row],[Quantity]],"ERROR")</f>
        <v>36190</v>
      </c>
      <c r="W34" s="6" t="str">
        <f>PROPER(TRIM(Table16[[#This Row],[Customer_Name]]))</f>
        <v>Grove Traders</v>
      </c>
      <c r="X34" s="6" t="str">
        <f>PROPER(TRIM(Table16[[#This Row],[Region]]))</f>
        <v>North</v>
      </c>
      <c r="Y34" s="6">
        <f>YEAR(Table16[[#This Row],[Date]])</f>
        <v>2026</v>
      </c>
      <c r="Z34" s="6">
        <f>MONTH(Table16[[#This Row],[Date]])</f>
        <v>3</v>
      </c>
      <c r="AA34" s="6" t="str">
        <f>MID(Table16[[#This Row],[Transaction_ID]],4,7)</f>
        <v>1033</v>
      </c>
      <c r="AB34" s="6" t="str">
        <f>_xlfn.CONCAT(Table16[[#This Row],[Region]],"-",Table16[[#This Row],[Category]])</f>
        <v>North-Home</v>
      </c>
    </row>
    <row r="35" spans="1:28">
      <c r="A35" s="10" t="s">
        <v>137</v>
      </c>
      <c r="B35" s="11">
        <v>46087</v>
      </c>
      <c r="C35" s="12" t="s">
        <v>23</v>
      </c>
      <c r="D35" s="12" t="s">
        <v>24</v>
      </c>
      <c r="E35" s="12" t="s">
        <v>138</v>
      </c>
      <c r="F35" s="12" t="s">
        <v>41</v>
      </c>
      <c r="G35" s="12" t="s">
        <v>139</v>
      </c>
      <c r="H35" s="12">
        <v>10</v>
      </c>
      <c r="I35" s="13">
        <v>1450</v>
      </c>
      <c r="J35" s="14">
        <v>0.05</v>
      </c>
      <c r="K35" s="12" t="s">
        <v>28</v>
      </c>
      <c r="L35" s="12" t="s">
        <v>20</v>
      </c>
      <c r="M35" s="12" t="s">
        <v>52</v>
      </c>
      <c r="N35" s="6">
        <f>Table16[[#This Row],[Quantity]]*Table16[[#This Row],[Unit_Price_INR]]</f>
        <v>14500</v>
      </c>
      <c r="O35" s="6">
        <f>Table16[[#This Row],[Gross sales]]*Table16[[#This Row],[Discount_Rate]]</f>
        <v>725</v>
      </c>
      <c r="P35" s="6">
        <f>Table16[[#This Row],[Gross sales]]-Table16[[#This Row],[Discount_Amount]]</f>
        <v>13775</v>
      </c>
      <c r="Q35" s="6" t="str">
        <f>TEXT(Table16[[#This Row],[Date]],"mmmm")</f>
        <v>March</v>
      </c>
      <c r="R35" s="9" t="str">
        <f>IF(OR(Table16[[#This Row],[Status]]="Pending",Table16[[#This Row],[Status]]="Refunded"),"Review","OK")</f>
        <v>OK</v>
      </c>
      <c r="S35" s="6" t="str">
        <f>IF(Table16[[#This Row],[Net_Sales]]&gt;25000,"Hgh",IF(Table16[[#This Row],[Net_Sales]]&gt;10000,"Medium","Low"))</f>
        <v>Medium</v>
      </c>
      <c r="T35" s="6" t="b">
        <f>AND(Table16[[#This Row],[Quantity]]&gt;=5,Table16[[#This Row],[Discount_Rate]]&gt;=10%)</f>
        <v>0</v>
      </c>
      <c r="U35" s="6" t="b">
        <f>OR(Table16[[#This Row],[Payment_Method]]="UPI",Table16[[#This Row],[Payment_Method]]="Cash")</f>
        <v>0</v>
      </c>
      <c r="V35" s="6">
        <f>IFERROR(Table16[[#This Row],[Net_Sales]]/Table16[[#This Row],[Quantity]],"ERROR")</f>
        <v>1377.5</v>
      </c>
      <c r="W35" s="6" t="str">
        <f>PROPER(TRIM(Table16[[#This Row],[Customer_Name]]))</f>
        <v>Hilltop Shop</v>
      </c>
      <c r="X35" s="6" t="str">
        <f>PROPER(TRIM(Table16[[#This Row],[Region]]))</f>
        <v>South</v>
      </c>
      <c r="Y35" s="6">
        <f>YEAR(Table16[[#This Row],[Date]])</f>
        <v>2026</v>
      </c>
      <c r="Z35" s="6">
        <f>MONTH(Table16[[#This Row],[Date]])</f>
        <v>3</v>
      </c>
      <c r="AA35" s="6" t="str">
        <f>MID(Table16[[#This Row],[Transaction_ID]],4,7)</f>
        <v>1034</v>
      </c>
      <c r="AB35" s="6" t="str">
        <f>_xlfn.CONCAT(Table16[[#This Row],[Region]],"-",Table16[[#This Row],[Category]])</f>
        <v>South-Office</v>
      </c>
    </row>
    <row r="36" spans="1:28" hidden="1">
      <c r="A36" s="4" t="s">
        <v>140</v>
      </c>
      <c r="B36" s="5">
        <v>46089</v>
      </c>
      <c r="C36" s="6" t="s">
        <v>31</v>
      </c>
      <c r="D36" s="6" t="s">
        <v>15</v>
      </c>
      <c r="E36" s="6" t="s">
        <v>141</v>
      </c>
      <c r="F36" s="6" t="s">
        <v>47</v>
      </c>
      <c r="G36" s="6" t="s">
        <v>142</v>
      </c>
      <c r="H36" s="6">
        <v>4</v>
      </c>
      <c r="I36" s="7">
        <v>4200</v>
      </c>
      <c r="J36" s="8">
        <v>0.1</v>
      </c>
      <c r="K36" s="6" t="s">
        <v>19</v>
      </c>
      <c r="L36" s="6" t="s">
        <v>56</v>
      </c>
      <c r="M36" s="6" t="s">
        <v>36</v>
      </c>
      <c r="N36" s="6">
        <f>Table16[[#This Row],[Quantity]]*Table16[[#This Row],[Unit_Price_INR]]</f>
        <v>16800</v>
      </c>
      <c r="O36" s="6">
        <f>Table16[[#This Row],[Gross sales]]*Table16[[#This Row],[Discount_Rate]]</f>
        <v>1680</v>
      </c>
      <c r="P36" s="6">
        <f>Table16[[#This Row],[Gross sales]]-Table16[[#This Row],[Discount_Amount]]</f>
        <v>15120</v>
      </c>
      <c r="Q36" s="6" t="str">
        <f>TEXT(Table16[[#This Row],[Date]],"mmmm")</f>
        <v>March</v>
      </c>
      <c r="R36" s="9" t="str">
        <f>IF(OR(Table16[[#This Row],[Status]]="Pending",Table16[[#This Row],[Status]]="Refunded"),"Review","OK")</f>
        <v>Review</v>
      </c>
      <c r="S36" s="6" t="str">
        <f>IF(Table16[[#This Row],[Net_Sales]]&gt;25000,"Hgh",IF(Table16[[#This Row],[Net_Sales]]&gt;10000,"Medium","Low"))</f>
        <v>Medium</v>
      </c>
      <c r="T36" s="6" t="b">
        <f>AND(Table16[[#This Row],[Quantity]]&gt;=5,Table16[[#This Row],[Discount_Rate]]&gt;=10%)</f>
        <v>0</v>
      </c>
      <c r="U36" s="6" t="b">
        <f>OR(Table16[[#This Row],[Payment_Method]]="UPI",Table16[[#This Row],[Payment_Method]]="Cash")</f>
        <v>1</v>
      </c>
      <c r="V36" s="6">
        <f>IFERROR(Table16[[#This Row],[Net_Sales]]/Table16[[#This Row],[Quantity]],"ERROR")</f>
        <v>3780</v>
      </c>
      <c r="W36" s="6" t="str">
        <f>PROPER(TRIM(Table16[[#This Row],[Customer_Name]]))</f>
        <v>Ivory Market</v>
      </c>
      <c r="X36" s="6" t="str">
        <f>PROPER(TRIM(Table16[[#This Row],[Region]]))</f>
        <v>West</v>
      </c>
      <c r="Y36" s="6">
        <f>YEAR(Table16[[#This Row],[Date]])</f>
        <v>2026</v>
      </c>
      <c r="Z36" s="6">
        <f>MONTH(Table16[[#This Row],[Date]])</f>
        <v>3</v>
      </c>
      <c r="AA36" s="6" t="str">
        <f>MID(Table16[[#This Row],[Transaction_ID]],4,7)</f>
        <v>1035</v>
      </c>
      <c r="AB36" s="6" t="str">
        <f>_xlfn.CONCAT(Table16[[#This Row],[Region]],"-",Table16[[#This Row],[Category]])</f>
        <v>West-Fashion</v>
      </c>
    </row>
    <row r="37" spans="1:28">
      <c r="A37" s="10" t="s">
        <v>143</v>
      </c>
      <c r="B37" s="11">
        <v>46091</v>
      </c>
      <c r="C37" s="12" t="s">
        <v>38</v>
      </c>
      <c r="D37" s="12" t="s">
        <v>39</v>
      </c>
      <c r="E37" s="12" t="s">
        <v>144</v>
      </c>
      <c r="F37" s="12" t="s">
        <v>17</v>
      </c>
      <c r="G37" s="12" t="s">
        <v>145</v>
      </c>
      <c r="H37" s="12">
        <v>2</v>
      </c>
      <c r="I37" s="13">
        <v>46500</v>
      </c>
      <c r="J37" s="14">
        <v>0.08</v>
      </c>
      <c r="K37" s="12" t="s">
        <v>43</v>
      </c>
      <c r="L37" s="12" t="s">
        <v>20</v>
      </c>
      <c r="M37" s="12" t="s">
        <v>44</v>
      </c>
      <c r="N37" s="6">
        <f>Table16[[#This Row],[Quantity]]*Table16[[#This Row],[Unit_Price_INR]]</f>
        <v>93000</v>
      </c>
      <c r="O37" s="6">
        <f>Table16[[#This Row],[Gross sales]]*Table16[[#This Row],[Discount_Rate]]</f>
        <v>7440</v>
      </c>
      <c r="P37" s="6">
        <f>Table16[[#This Row],[Gross sales]]-Table16[[#This Row],[Discount_Amount]]</f>
        <v>85560</v>
      </c>
      <c r="Q37" s="6" t="str">
        <f>TEXT(Table16[[#This Row],[Date]],"mmmm")</f>
        <v>March</v>
      </c>
      <c r="R37" s="9" t="str">
        <f>IF(OR(Table16[[#This Row],[Status]]="Pending",Table16[[#This Row],[Status]]="Refunded"),"Review","OK")</f>
        <v>OK</v>
      </c>
      <c r="S37" s="6" t="str">
        <f>IF(Table16[[#This Row],[Net_Sales]]&gt;25000,"Hgh",IF(Table16[[#This Row],[Net_Sales]]&gt;10000,"Medium","Low"))</f>
        <v>Hgh</v>
      </c>
      <c r="T37" s="6" t="b">
        <f>AND(Table16[[#This Row],[Quantity]]&gt;=5,Table16[[#This Row],[Discount_Rate]]&gt;=10%)</f>
        <v>0</v>
      </c>
      <c r="U37" s="6" t="b">
        <f>OR(Table16[[#This Row],[Payment_Method]]="UPI",Table16[[#This Row],[Payment_Method]]="Cash")</f>
        <v>0</v>
      </c>
      <c r="V37" s="6">
        <f>IFERROR(Table16[[#This Row],[Net_Sales]]/Table16[[#This Row],[Quantity]],"ERROR")</f>
        <v>42780</v>
      </c>
      <c r="W37" s="6" t="str">
        <f>PROPER(TRIM(Table16[[#This Row],[Customer_Name]]))</f>
        <v>Juniper Distributors</v>
      </c>
      <c r="X37" s="6" t="str">
        <f>PROPER(TRIM(Table16[[#This Row],[Region]]))</f>
        <v>East</v>
      </c>
      <c r="Y37" s="6">
        <f>YEAR(Table16[[#This Row],[Date]])</f>
        <v>2026</v>
      </c>
      <c r="Z37" s="6">
        <f>MONTH(Table16[[#This Row],[Date]])</f>
        <v>3</v>
      </c>
      <c r="AA37" s="6" t="str">
        <f>MID(Table16[[#This Row],[Transaction_ID]],4,7)</f>
        <v>1036</v>
      </c>
      <c r="AB37" s="6" t="str">
        <f>_xlfn.CONCAT(Table16[[#This Row],[Region]],"-",Table16[[#This Row],[Category]])</f>
        <v>East-Electronics</v>
      </c>
    </row>
    <row r="38" spans="1:28" hidden="1">
      <c r="A38" s="4" t="s">
        <v>146</v>
      </c>
      <c r="B38" s="5">
        <v>46093</v>
      </c>
      <c r="C38" s="6" t="s">
        <v>14</v>
      </c>
      <c r="D38" s="6" t="s">
        <v>24</v>
      </c>
      <c r="E38" s="6" t="s">
        <v>147</v>
      </c>
      <c r="F38" s="6" t="s">
        <v>33</v>
      </c>
      <c r="G38" s="6" t="s">
        <v>148</v>
      </c>
      <c r="H38" s="6">
        <v>8</v>
      </c>
      <c r="I38" s="7">
        <v>950</v>
      </c>
      <c r="J38" s="8">
        <v>0.05</v>
      </c>
      <c r="K38" s="6" t="s">
        <v>28</v>
      </c>
      <c r="L38" s="6" t="s">
        <v>20</v>
      </c>
      <c r="M38" s="6" t="s">
        <v>21</v>
      </c>
      <c r="N38" s="6">
        <f>Table16[[#This Row],[Quantity]]*Table16[[#This Row],[Unit_Price_INR]]</f>
        <v>7600</v>
      </c>
      <c r="O38" s="6">
        <f>Table16[[#This Row],[Gross sales]]*Table16[[#This Row],[Discount_Rate]]</f>
        <v>380</v>
      </c>
      <c r="P38" s="6">
        <f>Table16[[#This Row],[Gross sales]]-Table16[[#This Row],[Discount_Amount]]</f>
        <v>7220</v>
      </c>
      <c r="Q38" s="6" t="str">
        <f>TEXT(Table16[[#This Row],[Date]],"mmmm")</f>
        <v>March</v>
      </c>
      <c r="R38" s="9" t="str">
        <f>IF(OR(Table16[[#This Row],[Status]]="Pending",Table16[[#This Row],[Status]]="Refunded"),"Review","OK")</f>
        <v>OK</v>
      </c>
      <c r="S38" s="6" t="str">
        <f>IF(Table16[[#This Row],[Net_Sales]]&gt;25000,"Hgh",IF(Table16[[#This Row],[Net_Sales]]&gt;10000,"Medium","Low"))</f>
        <v>Low</v>
      </c>
      <c r="T38" s="6" t="b">
        <f>AND(Table16[[#This Row],[Quantity]]&gt;=5,Table16[[#This Row],[Discount_Rate]]&gt;=10%)</f>
        <v>0</v>
      </c>
      <c r="U38" s="6" t="b">
        <f>OR(Table16[[#This Row],[Payment_Method]]="UPI",Table16[[#This Row],[Payment_Method]]="Cash")</f>
        <v>0</v>
      </c>
      <c r="V38" s="6">
        <f>IFERROR(Table16[[#This Row],[Net_Sales]]/Table16[[#This Row],[Quantity]],"ERROR")</f>
        <v>902.5</v>
      </c>
      <c r="W38" s="6" t="str">
        <f>PROPER(TRIM(Table16[[#This Row],[Customer_Name]]))</f>
        <v>Kite Store</v>
      </c>
      <c r="X38" s="6" t="str">
        <f>PROPER(TRIM(Table16[[#This Row],[Region]]))</f>
        <v>North</v>
      </c>
      <c r="Y38" s="6">
        <f>YEAR(Table16[[#This Row],[Date]])</f>
        <v>2026</v>
      </c>
      <c r="Z38" s="6">
        <f>MONTH(Table16[[#This Row],[Date]])</f>
        <v>3</v>
      </c>
      <c r="AA38" s="6" t="str">
        <f>MID(Table16[[#This Row],[Transaction_ID]],4,7)</f>
        <v>1037</v>
      </c>
      <c r="AB38" s="6" t="str">
        <f>_xlfn.CONCAT(Table16[[#This Row],[Region]],"-",Table16[[#This Row],[Category]])</f>
        <v>North-Grocery</v>
      </c>
    </row>
    <row r="39" spans="1:28">
      <c r="A39" s="10" t="s">
        <v>149</v>
      </c>
      <c r="B39" s="11">
        <v>46095</v>
      </c>
      <c r="C39" s="12" t="s">
        <v>23</v>
      </c>
      <c r="D39" s="12" t="s">
        <v>15</v>
      </c>
      <c r="E39" s="12" t="s">
        <v>150</v>
      </c>
      <c r="F39" s="12" t="s">
        <v>26</v>
      </c>
      <c r="G39" s="12" t="s">
        <v>151</v>
      </c>
      <c r="H39" s="12">
        <v>5</v>
      </c>
      <c r="I39" s="13">
        <v>3500</v>
      </c>
      <c r="J39" s="14">
        <v>7.0000000000000007E-2</v>
      </c>
      <c r="K39" s="12" t="s">
        <v>35</v>
      </c>
      <c r="L39" s="12" t="s">
        <v>20</v>
      </c>
      <c r="M39" s="12" t="s">
        <v>52</v>
      </c>
      <c r="N39" s="6">
        <f>Table16[[#This Row],[Quantity]]*Table16[[#This Row],[Unit_Price_INR]]</f>
        <v>17500</v>
      </c>
      <c r="O39" s="6">
        <f>Table16[[#This Row],[Gross sales]]*Table16[[#This Row],[Discount_Rate]]</f>
        <v>1225.0000000000002</v>
      </c>
      <c r="P39" s="6">
        <f>Table16[[#This Row],[Gross sales]]-Table16[[#This Row],[Discount_Amount]]</f>
        <v>16275</v>
      </c>
      <c r="Q39" s="6" t="str">
        <f>TEXT(Table16[[#This Row],[Date]],"mmmm")</f>
        <v>March</v>
      </c>
      <c r="R39" s="9" t="str">
        <f>IF(OR(Table16[[#This Row],[Status]]="Pending",Table16[[#This Row],[Status]]="Refunded"),"Review","OK")</f>
        <v>OK</v>
      </c>
      <c r="S39" s="6" t="str">
        <f>IF(Table16[[#This Row],[Net_Sales]]&gt;25000,"Hgh",IF(Table16[[#This Row],[Net_Sales]]&gt;10000,"Medium","Low"))</f>
        <v>Medium</v>
      </c>
      <c r="T39" s="6" t="b">
        <f>AND(Table16[[#This Row],[Quantity]]&gt;=5,Table16[[#This Row],[Discount_Rate]]&gt;=10%)</f>
        <v>0</v>
      </c>
      <c r="U39" s="6" t="b">
        <f>OR(Table16[[#This Row],[Payment_Method]]="UPI",Table16[[#This Row],[Payment_Method]]="Cash")</f>
        <v>1</v>
      </c>
      <c r="V39" s="6">
        <f>IFERROR(Table16[[#This Row],[Net_Sales]]/Table16[[#This Row],[Quantity]],"ERROR")</f>
        <v>3255</v>
      </c>
      <c r="W39" s="6" t="str">
        <f>PROPER(TRIM(Table16[[#This Row],[Customer_Name]]))</f>
        <v>Lime Bazaar</v>
      </c>
      <c r="X39" s="6" t="str">
        <f>PROPER(TRIM(Table16[[#This Row],[Region]]))</f>
        <v>South</v>
      </c>
      <c r="Y39" s="6">
        <f>YEAR(Table16[[#This Row],[Date]])</f>
        <v>2026</v>
      </c>
      <c r="Z39" s="6">
        <f>MONTH(Table16[[#This Row],[Date]])</f>
        <v>3</v>
      </c>
      <c r="AA39" s="6" t="str">
        <f>MID(Table16[[#This Row],[Transaction_ID]],4,7)</f>
        <v>1038</v>
      </c>
      <c r="AB39" s="6" t="str">
        <f>_xlfn.CONCAT(Table16[[#This Row],[Region]],"-",Table16[[#This Row],[Category]])</f>
        <v>South-Home</v>
      </c>
    </row>
    <row r="40" spans="1:28">
      <c r="A40" s="4" t="s">
        <v>152</v>
      </c>
      <c r="B40" s="5">
        <v>46098</v>
      </c>
      <c r="C40" s="6" t="s">
        <v>31</v>
      </c>
      <c r="D40" s="6" t="s">
        <v>39</v>
      </c>
      <c r="E40" s="6" t="s">
        <v>153</v>
      </c>
      <c r="F40" s="6" t="s">
        <v>41</v>
      </c>
      <c r="G40" s="6" t="s">
        <v>154</v>
      </c>
      <c r="H40" s="6">
        <v>3</v>
      </c>
      <c r="I40" s="7">
        <v>11200</v>
      </c>
      <c r="J40" s="8">
        <v>0.04</v>
      </c>
      <c r="K40" s="6" t="s">
        <v>43</v>
      </c>
      <c r="L40" s="6" t="s">
        <v>20</v>
      </c>
      <c r="M40" s="6" t="s">
        <v>36</v>
      </c>
      <c r="N40" s="6">
        <f>Table16[[#This Row],[Quantity]]*Table16[[#This Row],[Unit_Price_INR]]</f>
        <v>33600</v>
      </c>
      <c r="O40" s="6">
        <f>Table16[[#This Row],[Gross sales]]*Table16[[#This Row],[Discount_Rate]]</f>
        <v>1344</v>
      </c>
      <c r="P40" s="6">
        <f>Table16[[#This Row],[Gross sales]]-Table16[[#This Row],[Discount_Amount]]</f>
        <v>32256</v>
      </c>
      <c r="Q40" s="6" t="str">
        <f>TEXT(Table16[[#This Row],[Date]],"mmmm")</f>
        <v>March</v>
      </c>
      <c r="R40" s="9" t="str">
        <f>IF(OR(Table16[[#This Row],[Status]]="Pending",Table16[[#This Row],[Status]]="Refunded"),"Review","OK")</f>
        <v>OK</v>
      </c>
      <c r="S40" s="6" t="str">
        <f>IF(Table16[[#This Row],[Net_Sales]]&gt;25000,"Hgh",IF(Table16[[#This Row],[Net_Sales]]&gt;10000,"Medium","Low"))</f>
        <v>Hgh</v>
      </c>
      <c r="T40" s="6" t="b">
        <f>AND(Table16[[#This Row],[Quantity]]&gt;=5,Table16[[#This Row],[Discount_Rate]]&gt;=10%)</f>
        <v>0</v>
      </c>
      <c r="U40" s="6" t="b">
        <f>OR(Table16[[#This Row],[Payment_Method]]="UPI",Table16[[#This Row],[Payment_Method]]="Cash")</f>
        <v>0</v>
      </c>
      <c r="V40" s="6">
        <f>IFERROR(Table16[[#This Row],[Net_Sales]]/Table16[[#This Row],[Quantity]],"ERROR")</f>
        <v>10752</v>
      </c>
      <c r="W40" s="6" t="str">
        <f>PROPER(TRIM(Table16[[#This Row],[Customer_Name]]))</f>
        <v>Maple Traders</v>
      </c>
      <c r="X40" s="6" t="str">
        <f>PROPER(TRIM(Table16[[#This Row],[Region]]))</f>
        <v>West</v>
      </c>
      <c r="Y40" s="6">
        <f>YEAR(Table16[[#This Row],[Date]])</f>
        <v>2026</v>
      </c>
      <c r="Z40" s="6">
        <f>MONTH(Table16[[#This Row],[Date]])</f>
        <v>3</v>
      </c>
      <c r="AA40" s="6" t="str">
        <f>MID(Table16[[#This Row],[Transaction_ID]],4,7)</f>
        <v>1039</v>
      </c>
      <c r="AB40" s="6" t="str">
        <f>_xlfn.CONCAT(Table16[[#This Row],[Region]],"-",Table16[[#This Row],[Category]])</f>
        <v>West-Office</v>
      </c>
    </row>
    <row r="41" spans="1:28" hidden="1">
      <c r="A41" s="10" t="s">
        <v>155</v>
      </c>
      <c r="B41" s="11">
        <v>46100</v>
      </c>
      <c r="C41" s="12" t="s">
        <v>38</v>
      </c>
      <c r="D41" s="12" t="s">
        <v>24</v>
      </c>
      <c r="E41" s="12" t="s">
        <v>156</v>
      </c>
      <c r="F41" s="12" t="s">
        <v>47</v>
      </c>
      <c r="G41" s="12" t="s">
        <v>157</v>
      </c>
      <c r="H41" s="12">
        <v>6</v>
      </c>
      <c r="I41" s="13">
        <v>5600</v>
      </c>
      <c r="J41" s="14">
        <v>0.15</v>
      </c>
      <c r="K41" s="12" t="s">
        <v>28</v>
      </c>
      <c r="L41" s="12" t="s">
        <v>66</v>
      </c>
      <c r="M41" s="12" t="s">
        <v>44</v>
      </c>
      <c r="N41" s="6">
        <f>Table16[[#This Row],[Quantity]]*Table16[[#This Row],[Unit_Price_INR]]</f>
        <v>33600</v>
      </c>
      <c r="O41" s="6">
        <f>Table16[[#This Row],[Gross sales]]*Table16[[#This Row],[Discount_Rate]]</f>
        <v>5040</v>
      </c>
      <c r="P41" s="6">
        <f>Table16[[#This Row],[Gross sales]]-Table16[[#This Row],[Discount_Amount]]</f>
        <v>28560</v>
      </c>
      <c r="Q41" s="6" t="str">
        <f>TEXT(Table16[[#This Row],[Date]],"mmmm")</f>
        <v>March</v>
      </c>
      <c r="R41" s="9" t="str">
        <f>IF(OR(Table16[[#This Row],[Status]]="Pending",Table16[[#This Row],[Status]]="Refunded"),"Review","OK")</f>
        <v>Review</v>
      </c>
      <c r="S41" s="6" t="str">
        <f>IF(Table16[[#This Row],[Net_Sales]]&gt;25000,"Hgh",IF(Table16[[#This Row],[Net_Sales]]&gt;10000,"Medium","Low"))</f>
        <v>Hgh</v>
      </c>
      <c r="T41" s="6" t="b">
        <f>AND(Table16[[#This Row],[Quantity]]&gt;=5,Table16[[#This Row],[Discount_Rate]]&gt;=10%)</f>
        <v>1</v>
      </c>
      <c r="U41" s="6" t="b">
        <f>OR(Table16[[#This Row],[Payment_Method]]="UPI",Table16[[#This Row],[Payment_Method]]="Cash")</f>
        <v>0</v>
      </c>
      <c r="V41" s="6">
        <f>IFERROR(Table16[[#This Row],[Net_Sales]]/Table16[[#This Row],[Quantity]],"ERROR")</f>
        <v>4760</v>
      </c>
      <c r="W41" s="6" t="str">
        <f>PROPER(TRIM(Table16[[#This Row],[Customer_Name]]))</f>
        <v>Noble Retail</v>
      </c>
      <c r="X41" s="6" t="str">
        <f>PROPER(TRIM(Table16[[#This Row],[Region]]))</f>
        <v>East</v>
      </c>
      <c r="Y41" s="6">
        <f>YEAR(Table16[[#This Row],[Date]])</f>
        <v>2026</v>
      </c>
      <c r="Z41" s="6">
        <f>MONTH(Table16[[#This Row],[Date]])</f>
        <v>3</v>
      </c>
      <c r="AA41" s="6" t="str">
        <f>MID(Table16[[#This Row],[Transaction_ID]],4,7)</f>
        <v>1040</v>
      </c>
      <c r="AB41" s="6" t="str">
        <f>_xlfn.CONCAT(Table16[[#This Row],[Region]],"-",Table16[[#This Row],[Category]])</f>
        <v>East-Fashion</v>
      </c>
    </row>
    <row r="42" spans="1:28">
      <c r="A42" s="4" t="s">
        <v>158</v>
      </c>
      <c r="B42" s="5">
        <v>46102</v>
      </c>
      <c r="C42" s="6" t="s">
        <v>14</v>
      </c>
      <c r="D42" s="6" t="s">
        <v>15</v>
      </c>
      <c r="E42" s="6" t="s">
        <v>159</v>
      </c>
      <c r="F42" s="6" t="s">
        <v>17</v>
      </c>
      <c r="G42" s="6" t="s">
        <v>160</v>
      </c>
      <c r="H42" s="6">
        <v>9</v>
      </c>
      <c r="I42" s="7">
        <v>4200</v>
      </c>
      <c r="J42" s="8">
        <v>0.05</v>
      </c>
      <c r="K42" s="6" t="s">
        <v>19</v>
      </c>
      <c r="L42" s="6" t="s">
        <v>20</v>
      </c>
      <c r="M42" s="6" t="s">
        <v>21</v>
      </c>
      <c r="N42" s="6">
        <f>Table16[[#This Row],[Quantity]]*Table16[[#This Row],[Unit_Price_INR]]</f>
        <v>37800</v>
      </c>
      <c r="O42" s="6">
        <f>Table16[[#This Row],[Gross sales]]*Table16[[#This Row],[Discount_Rate]]</f>
        <v>1890</v>
      </c>
      <c r="P42" s="6">
        <f>Table16[[#This Row],[Gross sales]]-Table16[[#This Row],[Discount_Amount]]</f>
        <v>35910</v>
      </c>
      <c r="Q42" s="6" t="str">
        <f>TEXT(Table16[[#This Row],[Date]],"mmmm")</f>
        <v>March</v>
      </c>
      <c r="R42" s="9" t="str">
        <f>IF(OR(Table16[[#This Row],[Status]]="Pending",Table16[[#This Row],[Status]]="Refunded"),"Review","OK")</f>
        <v>OK</v>
      </c>
      <c r="S42" s="6" t="str">
        <f>IF(Table16[[#This Row],[Net_Sales]]&gt;25000,"Hgh",IF(Table16[[#This Row],[Net_Sales]]&gt;10000,"Medium","Low"))</f>
        <v>Hgh</v>
      </c>
      <c r="T42" s="6" t="b">
        <f>AND(Table16[[#This Row],[Quantity]]&gt;=5,Table16[[#This Row],[Discount_Rate]]&gt;=10%)</f>
        <v>0</v>
      </c>
      <c r="U42" s="6" t="b">
        <f>OR(Table16[[#This Row],[Payment_Method]]="UPI",Table16[[#This Row],[Payment_Method]]="Cash")</f>
        <v>1</v>
      </c>
      <c r="V42" s="6">
        <f>IFERROR(Table16[[#This Row],[Net_Sales]]/Table16[[#This Row],[Quantity]],"ERROR")</f>
        <v>3990</v>
      </c>
      <c r="W42" s="6" t="str">
        <f>PROPER(TRIM(Table16[[#This Row],[Customer_Name]]))</f>
        <v>Olive Shop</v>
      </c>
      <c r="X42" s="6" t="str">
        <f>PROPER(TRIM(Table16[[#This Row],[Region]]))</f>
        <v>North</v>
      </c>
      <c r="Y42" s="6">
        <f>YEAR(Table16[[#This Row],[Date]])</f>
        <v>2026</v>
      </c>
      <c r="Z42" s="6">
        <f>MONTH(Table16[[#This Row],[Date]])</f>
        <v>3</v>
      </c>
      <c r="AA42" s="6" t="str">
        <f>MID(Table16[[#This Row],[Transaction_ID]],4,7)</f>
        <v>1041</v>
      </c>
      <c r="AB42" s="6" t="str">
        <f>_xlfn.CONCAT(Table16[[#This Row],[Region]],"-",Table16[[#This Row],[Category]])</f>
        <v>North-Electronics</v>
      </c>
    </row>
    <row r="43" spans="1:28" hidden="1">
      <c r="A43" s="10" t="s">
        <v>161</v>
      </c>
      <c r="B43" s="11">
        <v>46104</v>
      </c>
      <c r="C43" s="12" t="s">
        <v>23</v>
      </c>
      <c r="D43" s="12" t="s">
        <v>39</v>
      </c>
      <c r="E43" s="12" t="s">
        <v>162</v>
      </c>
      <c r="F43" s="12" t="s">
        <v>33</v>
      </c>
      <c r="G43" s="12" t="s">
        <v>163</v>
      </c>
      <c r="H43" s="12">
        <v>22</v>
      </c>
      <c r="I43" s="13">
        <v>260</v>
      </c>
      <c r="J43" s="14">
        <v>0</v>
      </c>
      <c r="K43" s="12" t="s">
        <v>43</v>
      </c>
      <c r="L43" s="12" t="s">
        <v>20</v>
      </c>
      <c r="M43" s="12" t="s">
        <v>29</v>
      </c>
      <c r="N43" s="6">
        <f>Table16[[#This Row],[Quantity]]*Table16[[#This Row],[Unit_Price_INR]]</f>
        <v>5720</v>
      </c>
      <c r="O43" s="6">
        <f>Table16[[#This Row],[Gross sales]]*Table16[[#This Row],[Discount_Rate]]</f>
        <v>0</v>
      </c>
      <c r="P43" s="6">
        <f>Table16[[#This Row],[Gross sales]]-Table16[[#This Row],[Discount_Amount]]</f>
        <v>5720</v>
      </c>
      <c r="Q43" s="6" t="str">
        <f>TEXT(Table16[[#This Row],[Date]],"mmmm")</f>
        <v>March</v>
      </c>
      <c r="R43" s="9" t="str">
        <f>IF(OR(Table16[[#This Row],[Status]]="Pending",Table16[[#This Row],[Status]]="Refunded"),"Review","OK")</f>
        <v>OK</v>
      </c>
      <c r="S43" s="6" t="str">
        <f>IF(Table16[[#This Row],[Net_Sales]]&gt;25000,"Hgh",IF(Table16[[#This Row],[Net_Sales]]&gt;10000,"Medium","Low"))</f>
        <v>Low</v>
      </c>
      <c r="T43" s="6" t="b">
        <f>AND(Table16[[#This Row],[Quantity]]&gt;=5,Table16[[#This Row],[Discount_Rate]]&gt;=10%)</f>
        <v>0</v>
      </c>
      <c r="U43" s="6" t="b">
        <f>OR(Table16[[#This Row],[Payment_Method]]="UPI",Table16[[#This Row],[Payment_Method]]="Cash")</f>
        <v>0</v>
      </c>
      <c r="V43" s="6">
        <f>IFERROR(Table16[[#This Row],[Net_Sales]]/Table16[[#This Row],[Quantity]],"ERROR")</f>
        <v>260</v>
      </c>
      <c r="W43" s="6" t="str">
        <f>PROPER(TRIM(Table16[[#This Row],[Customer_Name]]))</f>
        <v>Pioneer Distributors</v>
      </c>
      <c r="X43" s="6" t="str">
        <f>PROPER(TRIM(Table16[[#This Row],[Region]]))</f>
        <v>South</v>
      </c>
      <c r="Y43" s="6">
        <f>YEAR(Table16[[#This Row],[Date]])</f>
        <v>2026</v>
      </c>
      <c r="Z43" s="6">
        <f>MONTH(Table16[[#This Row],[Date]])</f>
        <v>3</v>
      </c>
      <c r="AA43" s="6" t="str">
        <f>MID(Table16[[#This Row],[Transaction_ID]],4,7)</f>
        <v>1042</v>
      </c>
      <c r="AB43" s="6" t="str">
        <f>_xlfn.CONCAT(Table16[[#This Row],[Region]],"-",Table16[[#This Row],[Category]])</f>
        <v>South-Grocery</v>
      </c>
    </row>
    <row r="44" spans="1:28">
      <c r="A44" s="4" t="s">
        <v>164</v>
      </c>
      <c r="B44" s="5">
        <v>46106</v>
      </c>
      <c r="C44" s="6" t="s">
        <v>31</v>
      </c>
      <c r="D44" s="6" t="s">
        <v>24</v>
      </c>
      <c r="E44" s="6" t="s">
        <v>165</v>
      </c>
      <c r="F44" s="6" t="s">
        <v>26</v>
      </c>
      <c r="G44" s="6" t="s">
        <v>166</v>
      </c>
      <c r="H44" s="6">
        <v>3</v>
      </c>
      <c r="I44" s="7">
        <v>7800</v>
      </c>
      <c r="J44" s="8">
        <v>0.1</v>
      </c>
      <c r="K44" s="6" t="s">
        <v>28</v>
      </c>
      <c r="L44" s="6" t="s">
        <v>20</v>
      </c>
      <c r="M44" s="6" t="s">
        <v>36</v>
      </c>
      <c r="N44" s="6">
        <f>Table16[[#This Row],[Quantity]]*Table16[[#This Row],[Unit_Price_INR]]</f>
        <v>23400</v>
      </c>
      <c r="O44" s="6">
        <f>Table16[[#This Row],[Gross sales]]*Table16[[#This Row],[Discount_Rate]]</f>
        <v>2340</v>
      </c>
      <c r="P44" s="6">
        <f>Table16[[#This Row],[Gross sales]]-Table16[[#This Row],[Discount_Amount]]</f>
        <v>21060</v>
      </c>
      <c r="Q44" s="6" t="str">
        <f>TEXT(Table16[[#This Row],[Date]],"mmmm")</f>
        <v>March</v>
      </c>
      <c r="R44" s="9" t="str">
        <f>IF(OR(Table16[[#This Row],[Status]]="Pending",Table16[[#This Row],[Status]]="Refunded"),"Review","OK")</f>
        <v>OK</v>
      </c>
      <c r="S44" s="6" t="str">
        <f>IF(Table16[[#This Row],[Net_Sales]]&gt;25000,"Hgh",IF(Table16[[#This Row],[Net_Sales]]&gt;10000,"Medium","Low"))</f>
        <v>Medium</v>
      </c>
      <c r="T44" s="6" t="b">
        <f>AND(Table16[[#This Row],[Quantity]]&gt;=5,Table16[[#This Row],[Discount_Rate]]&gt;=10%)</f>
        <v>0</v>
      </c>
      <c r="U44" s="6" t="b">
        <f>OR(Table16[[#This Row],[Payment_Method]]="UPI",Table16[[#This Row],[Payment_Method]]="Cash")</f>
        <v>0</v>
      </c>
      <c r="V44" s="6">
        <f>IFERROR(Table16[[#This Row],[Net_Sales]]/Table16[[#This Row],[Quantity]],"ERROR")</f>
        <v>7020</v>
      </c>
      <c r="W44" s="6" t="str">
        <f>PROPER(TRIM(Table16[[#This Row],[Customer_Name]]))</f>
        <v>Quartz Mart</v>
      </c>
      <c r="X44" s="6" t="str">
        <f>PROPER(TRIM(Table16[[#This Row],[Region]]))</f>
        <v>West</v>
      </c>
      <c r="Y44" s="6">
        <f>YEAR(Table16[[#This Row],[Date]])</f>
        <v>2026</v>
      </c>
      <c r="Z44" s="6">
        <f>MONTH(Table16[[#This Row],[Date]])</f>
        <v>3</v>
      </c>
      <c r="AA44" s="6" t="str">
        <f>MID(Table16[[#This Row],[Transaction_ID]],4,7)</f>
        <v>1043</v>
      </c>
      <c r="AB44" s="6" t="str">
        <f>_xlfn.CONCAT(Table16[[#This Row],[Region]],"-",Table16[[#This Row],[Category]])</f>
        <v>West-Home</v>
      </c>
    </row>
    <row r="45" spans="1:28" hidden="1">
      <c r="A45" s="10" t="s">
        <v>167</v>
      </c>
      <c r="B45" s="11">
        <v>46108</v>
      </c>
      <c r="C45" s="12" t="s">
        <v>38</v>
      </c>
      <c r="D45" s="12" t="s">
        <v>15</v>
      </c>
      <c r="E45" s="12" t="s">
        <v>168</v>
      </c>
      <c r="F45" s="12" t="s">
        <v>41</v>
      </c>
      <c r="G45" s="12" t="s">
        <v>169</v>
      </c>
      <c r="H45" s="12">
        <v>20</v>
      </c>
      <c r="I45" s="13">
        <v>125</v>
      </c>
      <c r="J45" s="14">
        <v>0</v>
      </c>
      <c r="K45" s="12" t="s">
        <v>35</v>
      </c>
      <c r="L45" s="12" t="s">
        <v>20</v>
      </c>
      <c r="M45" s="12" t="s">
        <v>44</v>
      </c>
      <c r="N45" s="6">
        <f>Table16[[#This Row],[Quantity]]*Table16[[#This Row],[Unit_Price_INR]]</f>
        <v>2500</v>
      </c>
      <c r="O45" s="6">
        <f>Table16[[#This Row],[Gross sales]]*Table16[[#This Row],[Discount_Rate]]</f>
        <v>0</v>
      </c>
      <c r="P45" s="6">
        <f>Table16[[#This Row],[Gross sales]]-Table16[[#This Row],[Discount_Amount]]</f>
        <v>2500</v>
      </c>
      <c r="Q45" s="6" t="str">
        <f>TEXT(Table16[[#This Row],[Date]],"mmmm")</f>
        <v>March</v>
      </c>
      <c r="R45" s="9" t="str">
        <f>IF(OR(Table16[[#This Row],[Status]]="Pending",Table16[[#This Row],[Status]]="Refunded"),"Review","OK")</f>
        <v>OK</v>
      </c>
      <c r="S45" s="6" t="str">
        <f>IF(Table16[[#This Row],[Net_Sales]]&gt;25000,"Hgh",IF(Table16[[#This Row],[Net_Sales]]&gt;10000,"Medium","Low"))</f>
        <v>Low</v>
      </c>
      <c r="T45" s="6" t="b">
        <f>AND(Table16[[#This Row],[Quantity]]&gt;=5,Table16[[#This Row],[Discount_Rate]]&gt;=10%)</f>
        <v>0</v>
      </c>
      <c r="U45" s="6" t="b">
        <f>OR(Table16[[#This Row],[Payment_Method]]="UPI",Table16[[#This Row],[Payment_Method]]="Cash")</f>
        <v>1</v>
      </c>
      <c r="V45" s="6">
        <f>IFERROR(Table16[[#This Row],[Net_Sales]]/Table16[[#This Row],[Quantity]],"ERROR")</f>
        <v>125</v>
      </c>
      <c r="W45" s="6" t="str">
        <f>PROPER(TRIM(Table16[[#This Row],[Customer_Name]]))</f>
        <v>River Store</v>
      </c>
      <c r="X45" s="6" t="str">
        <f>PROPER(TRIM(Table16[[#This Row],[Region]]))</f>
        <v>East</v>
      </c>
      <c r="Y45" s="6">
        <f>YEAR(Table16[[#This Row],[Date]])</f>
        <v>2026</v>
      </c>
      <c r="Z45" s="6">
        <f>MONTH(Table16[[#This Row],[Date]])</f>
        <v>3</v>
      </c>
      <c r="AA45" s="6" t="str">
        <f>MID(Table16[[#This Row],[Transaction_ID]],4,7)</f>
        <v>1044</v>
      </c>
      <c r="AB45" s="6" t="str">
        <f>_xlfn.CONCAT(Table16[[#This Row],[Region]],"-",Table16[[#This Row],[Category]])</f>
        <v>East-Office</v>
      </c>
    </row>
    <row r="46" spans="1:28">
      <c r="A46" s="4" t="s">
        <v>170</v>
      </c>
      <c r="B46" s="5">
        <v>46110</v>
      </c>
      <c r="C46" s="6" t="s">
        <v>14</v>
      </c>
      <c r="D46" s="6" t="s">
        <v>39</v>
      </c>
      <c r="E46" s="6" t="s">
        <v>171</v>
      </c>
      <c r="F46" s="6" t="s">
        <v>17</v>
      </c>
      <c r="G46" s="6" t="s">
        <v>172</v>
      </c>
      <c r="H46" s="6">
        <v>2</v>
      </c>
      <c r="I46" s="7">
        <v>42000</v>
      </c>
      <c r="J46" s="8">
        <v>7.0000000000000007E-2</v>
      </c>
      <c r="K46" s="6" t="s">
        <v>43</v>
      </c>
      <c r="L46" s="6" t="s">
        <v>20</v>
      </c>
      <c r="M46" s="6" t="s">
        <v>21</v>
      </c>
      <c r="N46" s="6">
        <f>Table16[[#This Row],[Quantity]]*Table16[[#This Row],[Unit_Price_INR]]</f>
        <v>84000</v>
      </c>
      <c r="O46" s="6">
        <f>Table16[[#This Row],[Gross sales]]*Table16[[#This Row],[Discount_Rate]]</f>
        <v>5880.0000000000009</v>
      </c>
      <c r="P46" s="6">
        <f>Table16[[#This Row],[Gross sales]]-Table16[[#This Row],[Discount_Amount]]</f>
        <v>78120</v>
      </c>
      <c r="Q46" s="6" t="str">
        <f>TEXT(Table16[[#This Row],[Date]],"mmmm")</f>
        <v>March</v>
      </c>
      <c r="R46" s="9" t="str">
        <f>IF(OR(Table16[[#This Row],[Status]]="Pending",Table16[[#This Row],[Status]]="Refunded"),"Review","OK")</f>
        <v>OK</v>
      </c>
      <c r="S46" s="6" t="str">
        <f>IF(Table16[[#This Row],[Net_Sales]]&gt;25000,"Hgh",IF(Table16[[#This Row],[Net_Sales]]&gt;10000,"Medium","Low"))</f>
        <v>Hgh</v>
      </c>
      <c r="T46" s="6" t="b">
        <f>AND(Table16[[#This Row],[Quantity]]&gt;=5,Table16[[#This Row],[Discount_Rate]]&gt;=10%)</f>
        <v>0</v>
      </c>
      <c r="U46" s="6" t="b">
        <f>OR(Table16[[#This Row],[Payment_Method]]="UPI",Table16[[#This Row],[Payment_Method]]="Cash")</f>
        <v>0</v>
      </c>
      <c r="V46" s="6">
        <f>IFERROR(Table16[[#This Row],[Net_Sales]]/Table16[[#This Row],[Quantity]],"ERROR")</f>
        <v>39060</v>
      </c>
      <c r="W46" s="6" t="str">
        <f>PROPER(TRIM(Table16[[#This Row],[Customer_Name]]))</f>
        <v>Silverline Traders</v>
      </c>
      <c r="X46" s="6" t="str">
        <f>PROPER(TRIM(Table16[[#This Row],[Region]]))</f>
        <v>North</v>
      </c>
      <c r="Y46" s="6">
        <f>YEAR(Table16[[#This Row],[Date]])</f>
        <v>2026</v>
      </c>
      <c r="Z46" s="6">
        <f>MONTH(Table16[[#This Row],[Date]])</f>
        <v>3</v>
      </c>
      <c r="AA46" s="6" t="str">
        <f>MID(Table16[[#This Row],[Transaction_ID]],4,7)</f>
        <v>1045</v>
      </c>
      <c r="AB46" s="6" t="str">
        <f>_xlfn.CONCAT(Table16[[#This Row],[Region]],"-",Table16[[#This Row],[Category]])</f>
        <v>North-Electronics</v>
      </c>
    </row>
    <row r="47" spans="1:28">
      <c r="A47" s="10" t="s">
        <v>173</v>
      </c>
      <c r="B47" s="11">
        <v>46114</v>
      </c>
      <c r="C47" s="12" t="s">
        <v>23</v>
      </c>
      <c r="D47" s="12" t="s">
        <v>24</v>
      </c>
      <c r="E47" s="12" t="s">
        <v>174</v>
      </c>
      <c r="F47" s="12" t="s">
        <v>47</v>
      </c>
      <c r="G47" s="12" t="s">
        <v>175</v>
      </c>
      <c r="H47" s="12">
        <v>11</v>
      </c>
      <c r="I47" s="13">
        <v>1350</v>
      </c>
      <c r="J47" s="14">
        <v>0.1</v>
      </c>
      <c r="K47" s="12" t="s">
        <v>19</v>
      </c>
      <c r="L47" s="12" t="s">
        <v>20</v>
      </c>
      <c r="M47" s="12" t="s">
        <v>52</v>
      </c>
      <c r="N47" s="6">
        <f>Table16[[#This Row],[Quantity]]*Table16[[#This Row],[Unit_Price_INR]]</f>
        <v>14850</v>
      </c>
      <c r="O47" s="6">
        <f>Table16[[#This Row],[Gross sales]]*Table16[[#This Row],[Discount_Rate]]</f>
        <v>1485</v>
      </c>
      <c r="P47" s="6">
        <f>Table16[[#This Row],[Gross sales]]-Table16[[#This Row],[Discount_Amount]]</f>
        <v>13365</v>
      </c>
      <c r="Q47" s="6" t="str">
        <f>TEXT(Table16[[#This Row],[Date]],"mmmm")</f>
        <v>April</v>
      </c>
      <c r="R47" s="9" t="str">
        <f>IF(OR(Table16[[#This Row],[Status]]="Pending",Table16[[#This Row],[Status]]="Refunded"),"Review","OK")</f>
        <v>OK</v>
      </c>
      <c r="S47" s="6" t="str">
        <f>IF(Table16[[#This Row],[Net_Sales]]&gt;25000,"Hgh",IF(Table16[[#This Row],[Net_Sales]]&gt;10000,"Medium","Low"))</f>
        <v>Medium</v>
      </c>
      <c r="T47" s="6" t="b">
        <f>AND(Table16[[#This Row],[Quantity]]&gt;=5,Table16[[#This Row],[Discount_Rate]]&gt;=10%)</f>
        <v>1</v>
      </c>
      <c r="U47" s="6" t="b">
        <f>OR(Table16[[#This Row],[Payment_Method]]="UPI",Table16[[#This Row],[Payment_Method]]="Cash")</f>
        <v>1</v>
      </c>
      <c r="V47" s="6">
        <f>IFERROR(Table16[[#This Row],[Net_Sales]]/Table16[[#This Row],[Quantity]],"ERROR")</f>
        <v>1215</v>
      </c>
      <c r="W47" s="6" t="str">
        <f>PROPER(TRIM(Table16[[#This Row],[Customer_Name]]))</f>
        <v>Topaz Shop</v>
      </c>
      <c r="X47" s="6" t="str">
        <f>PROPER(TRIM(Table16[[#This Row],[Region]]))</f>
        <v>South</v>
      </c>
      <c r="Y47" s="6">
        <f>YEAR(Table16[[#This Row],[Date]])</f>
        <v>2026</v>
      </c>
      <c r="Z47" s="6">
        <f>MONTH(Table16[[#This Row],[Date]])</f>
        <v>4</v>
      </c>
      <c r="AA47" s="6" t="str">
        <f>MID(Table16[[#This Row],[Transaction_ID]],4,7)</f>
        <v>1046</v>
      </c>
      <c r="AB47" s="6" t="str">
        <f>_xlfn.CONCAT(Table16[[#This Row],[Region]],"-",Table16[[#This Row],[Category]])</f>
        <v>South-Fashion</v>
      </c>
    </row>
    <row r="48" spans="1:28" hidden="1">
      <c r="A48" s="4" t="s">
        <v>176</v>
      </c>
      <c r="B48" s="5">
        <v>46116</v>
      </c>
      <c r="C48" s="6" t="s">
        <v>31</v>
      </c>
      <c r="D48" s="6" t="s">
        <v>15</v>
      </c>
      <c r="E48" s="6" t="s">
        <v>177</v>
      </c>
      <c r="F48" s="6" t="s">
        <v>33</v>
      </c>
      <c r="G48" s="6" t="s">
        <v>178</v>
      </c>
      <c r="H48" s="6">
        <v>14</v>
      </c>
      <c r="I48" s="7">
        <v>390</v>
      </c>
      <c r="J48" s="8">
        <v>0.03</v>
      </c>
      <c r="K48" s="6" t="s">
        <v>28</v>
      </c>
      <c r="L48" s="6" t="s">
        <v>20</v>
      </c>
      <c r="M48" s="6" t="s">
        <v>36</v>
      </c>
      <c r="N48" s="6">
        <f>Table16[[#This Row],[Quantity]]*Table16[[#This Row],[Unit_Price_INR]]</f>
        <v>5460</v>
      </c>
      <c r="O48" s="6">
        <f>Table16[[#This Row],[Gross sales]]*Table16[[#This Row],[Discount_Rate]]</f>
        <v>163.79999999999998</v>
      </c>
      <c r="P48" s="6">
        <f>Table16[[#This Row],[Gross sales]]-Table16[[#This Row],[Discount_Amount]]</f>
        <v>5296.2</v>
      </c>
      <c r="Q48" s="6" t="str">
        <f>TEXT(Table16[[#This Row],[Date]],"mmmm")</f>
        <v>April</v>
      </c>
      <c r="R48" s="9" t="str">
        <f>IF(OR(Table16[[#This Row],[Status]]="Pending",Table16[[#This Row],[Status]]="Refunded"),"Review","OK")</f>
        <v>OK</v>
      </c>
      <c r="S48" s="6" t="str">
        <f>IF(Table16[[#This Row],[Net_Sales]]&gt;25000,"Hgh",IF(Table16[[#This Row],[Net_Sales]]&gt;10000,"Medium","Low"))</f>
        <v>Low</v>
      </c>
      <c r="T48" s="6" t="b">
        <f>AND(Table16[[#This Row],[Quantity]]&gt;=5,Table16[[#This Row],[Discount_Rate]]&gt;=10%)</f>
        <v>0</v>
      </c>
      <c r="U48" s="6" t="b">
        <f>OR(Table16[[#This Row],[Payment_Method]]="UPI",Table16[[#This Row],[Payment_Method]]="Cash")</f>
        <v>0</v>
      </c>
      <c r="V48" s="6">
        <f>IFERROR(Table16[[#This Row],[Net_Sales]]/Table16[[#This Row],[Quantity]],"ERROR")</f>
        <v>378.3</v>
      </c>
      <c r="W48" s="6" t="str">
        <f>PROPER(TRIM(Table16[[#This Row],[Customer_Name]]))</f>
        <v>Uptown Market</v>
      </c>
      <c r="X48" s="6" t="str">
        <f>PROPER(TRIM(Table16[[#This Row],[Region]]))</f>
        <v>West</v>
      </c>
      <c r="Y48" s="6">
        <f>YEAR(Table16[[#This Row],[Date]])</f>
        <v>2026</v>
      </c>
      <c r="Z48" s="6">
        <f>MONTH(Table16[[#This Row],[Date]])</f>
        <v>4</v>
      </c>
      <c r="AA48" s="6" t="str">
        <f>MID(Table16[[#This Row],[Transaction_ID]],4,7)</f>
        <v>1047</v>
      </c>
      <c r="AB48" s="6" t="str">
        <f>_xlfn.CONCAT(Table16[[#This Row],[Region]],"-",Table16[[#This Row],[Category]])</f>
        <v>West-Grocery</v>
      </c>
    </row>
    <row r="49" spans="1:28">
      <c r="A49" s="10" t="s">
        <v>179</v>
      </c>
      <c r="B49" s="11">
        <v>46118</v>
      </c>
      <c r="C49" s="12" t="s">
        <v>38</v>
      </c>
      <c r="D49" s="12" t="s">
        <v>39</v>
      </c>
      <c r="E49" s="12" t="s">
        <v>180</v>
      </c>
      <c r="F49" s="12" t="s">
        <v>26</v>
      </c>
      <c r="G49" s="12" t="s">
        <v>181</v>
      </c>
      <c r="H49" s="12">
        <v>2</v>
      </c>
      <c r="I49" s="13">
        <v>31500</v>
      </c>
      <c r="J49" s="14">
        <v>0.08</v>
      </c>
      <c r="K49" s="12" t="s">
        <v>43</v>
      </c>
      <c r="L49" s="12" t="s">
        <v>20</v>
      </c>
      <c r="M49" s="12" t="s">
        <v>44</v>
      </c>
      <c r="N49" s="6">
        <f>Table16[[#This Row],[Quantity]]*Table16[[#This Row],[Unit_Price_INR]]</f>
        <v>63000</v>
      </c>
      <c r="O49" s="6">
        <f>Table16[[#This Row],[Gross sales]]*Table16[[#This Row],[Discount_Rate]]</f>
        <v>5040</v>
      </c>
      <c r="P49" s="6">
        <f>Table16[[#This Row],[Gross sales]]-Table16[[#This Row],[Discount_Amount]]</f>
        <v>57960</v>
      </c>
      <c r="Q49" s="6" t="str">
        <f>TEXT(Table16[[#This Row],[Date]],"mmmm")</f>
        <v>April</v>
      </c>
      <c r="R49" s="9" t="str">
        <f>IF(OR(Table16[[#This Row],[Status]]="Pending",Table16[[#This Row],[Status]]="Refunded"),"Review","OK")</f>
        <v>OK</v>
      </c>
      <c r="S49" s="6" t="str">
        <f>IF(Table16[[#This Row],[Net_Sales]]&gt;25000,"Hgh",IF(Table16[[#This Row],[Net_Sales]]&gt;10000,"Medium","Low"))</f>
        <v>Hgh</v>
      </c>
      <c r="T49" s="6" t="b">
        <f>AND(Table16[[#This Row],[Quantity]]&gt;=5,Table16[[#This Row],[Discount_Rate]]&gt;=10%)</f>
        <v>0</v>
      </c>
      <c r="U49" s="6" t="b">
        <f>OR(Table16[[#This Row],[Payment_Method]]="UPI",Table16[[#This Row],[Payment_Method]]="Cash")</f>
        <v>0</v>
      </c>
      <c r="V49" s="6">
        <f>IFERROR(Table16[[#This Row],[Net_Sales]]/Table16[[#This Row],[Quantity]],"ERROR")</f>
        <v>28980</v>
      </c>
      <c r="W49" s="6" t="str">
        <f>PROPER(TRIM(Table16[[#This Row],[Customer_Name]]))</f>
        <v>Vista Traders</v>
      </c>
      <c r="X49" s="6" t="str">
        <f>PROPER(TRIM(Table16[[#This Row],[Region]]))</f>
        <v>East</v>
      </c>
      <c r="Y49" s="6">
        <f>YEAR(Table16[[#This Row],[Date]])</f>
        <v>2026</v>
      </c>
      <c r="Z49" s="6">
        <f>MONTH(Table16[[#This Row],[Date]])</f>
        <v>4</v>
      </c>
      <c r="AA49" s="6" t="str">
        <f>MID(Table16[[#This Row],[Transaction_ID]],4,7)</f>
        <v>1048</v>
      </c>
      <c r="AB49" s="6" t="str">
        <f>_xlfn.CONCAT(Table16[[#This Row],[Region]],"-",Table16[[#This Row],[Category]])</f>
        <v>East-Home</v>
      </c>
    </row>
    <row r="50" spans="1:28">
      <c r="A50" s="4" t="s">
        <v>182</v>
      </c>
      <c r="B50" s="5">
        <v>46120</v>
      </c>
      <c r="C50" s="6" t="s">
        <v>14</v>
      </c>
      <c r="D50" s="6" t="s">
        <v>24</v>
      </c>
      <c r="E50" s="6" t="s">
        <v>183</v>
      </c>
      <c r="F50" s="6" t="s">
        <v>17</v>
      </c>
      <c r="G50" s="6" t="s">
        <v>184</v>
      </c>
      <c r="H50" s="6">
        <v>8</v>
      </c>
      <c r="I50" s="7">
        <v>2600</v>
      </c>
      <c r="J50" s="8">
        <v>0.12</v>
      </c>
      <c r="K50" s="6" t="s">
        <v>28</v>
      </c>
      <c r="L50" s="6" t="s">
        <v>20</v>
      </c>
      <c r="M50" s="6" t="s">
        <v>21</v>
      </c>
      <c r="N50" s="6">
        <f>Table16[[#This Row],[Quantity]]*Table16[[#This Row],[Unit_Price_INR]]</f>
        <v>20800</v>
      </c>
      <c r="O50" s="6">
        <f>Table16[[#This Row],[Gross sales]]*Table16[[#This Row],[Discount_Rate]]</f>
        <v>2496</v>
      </c>
      <c r="P50" s="6">
        <f>Table16[[#This Row],[Gross sales]]-Table16[[#This Row],[Discount_Amount]]</f>
        <v>18304</v>
      </c>
      <c r="Q50" s="6" t="str">
        <f>TEXT(Table16[[#This Row],[Date]],"mmmm")</f>
        <v>April</v>
      </c>
      <c r="R50" s="9" t="str">
        <f>IF(OR(Table16[[#This Row],[Status]]="Pending",Table16[[#This Row],[Status]]="Refunded"),"Review","OK")</f>
        <v>OK</v>
      </c>
      <c r="S50" s="6" t="str">
        <f>IF(Table16[[#This Row],[Net_Sales]]&gt;25000,"Hgh",IF(Table16[[#This Row],[Net_Sales]]&gt;10000,"Medium","Low"))</f>
        <v>Medium</v>
      </c>
      <c r="T50" s="6" t="b">
        <f>AND(Table16[[#This Row],[Quantity]]&gt;=5,Table16[[#This Row],[Discount_Rate]]&gt;=10%)</f>
        <v>1</v>
      </c>
      <c r="U50" s="6" t="b">
        <f>OR(Table16[[#This Row],[Payment_Method]]="UPI",Table16[[#This Row],[Payment_Method]]="Cash")</f>
        <v>0</v>
      </c>
      <c r="V50" s="6">
        <f>IFERROR(Table16[[#This Row],[Net_Sales]]/Table16[[#This Row],[Quantity]],"ERROR")</f>
        <v>2288</v>
      </c>
      <c r="W50" s="6" t="str">
        <f>PROPER(TRIM(Table16[[#This Row],[Customer_Name]]))</f>
        <v>Wave Retail</v>
      </c>
      <c r="X50" s="6" t="str">
        <f>PROPER(TRIM(Table16[[#This Row],[Region]]))</f>
        <v>North</v>
      </c>
      <c r="Y50" s="6">
        <f>YEAR(Table16[[#This Row],[Date]])</f>
        <v>2026</v>
      </c>
      <c r="Z50" s="6">
        <f>MONTH(Table16[[#This Row],[Date]])</f>
        <v>4</v>
      </c>
      <c r="AA50" s="6" t="str">
        <f>MID(Table16[[#This Row],[Transaction_ID]],4,7)</f>
        <v>1049</v>
      </c>
      <c r="AB50" s="6" t="str">
        <f>_xlfn.CONCAT(Table16[[#This Row],[Region]],"-",Table16[[#This Row],[Category]])</f>
        <v>North-Electronics</v>
      </c>
    </row>
    <row r="51" spans="1:28" hidden="1">
      <c r="A51" s="10" t="s">
        <v>185</v>
      </c>
      <c r="B51" s="11">
        <v>46122</v>
      </c>
      <c r="C51" s="12" t="s">
        <v>23</v>
      </c>
      <c r="D51" s="12" t="s">
        <v>15</v>
      </c>
      <c r="E51" s="12" t="s">
        <v>186</v>
      </c>
      <c r="F51" s="12" t="s">
        <v>41</v>
      </c>
      <c r="G51" s="12" t="s">
        <v>187</v>
      </c>
      <c r="H51" s="12">
        <v>30</v>
      </c>
      <c r="I51" s="13">
        <v>220</v>
      </c>
      <c r="J51" s="14">
        <v>0</v>
      </c>
      <c r="K51" s="12" t="s">
        <v>35</v>
      </c>
      <c r="L51" s="12" t="s">
        <v>20</v>
      </c>
      <c r="M51" s="12" t="s">
        <v>52</v>
      </c>
      <c r="N51" s="6">
        <f>Table16[[#This Row],[Quantity]]*Table16[[#This Row],[Unit_Price_INR]]</f>
        <v>6600</v>
      </c>
      <c r="O51" s="6">
        <f>Table16[[#This Row],[Gross sales]]*Table16[[#This Row],[Discount_Rate]]</f>
        <v>0</v>
      </c>
      <c r="P51" s="6">
        <f>Table16[[#This Row],[Gross sales]]-Table16[[#This Row],[Discount_Amount]]</f>
        <v>6600</v>
      </c>
      <c r="Q51" s="6" t="str">
        <f>TEXT(Table16[[#This Row],[Date]],"mmmm")</f>
        <v>April</v>
      </c>
      <c r="R51" s="9" t="str">
        <f>IF(OR(Table16[[#This Row],[Status]]="Pending",Table16[[#This Row],[Status]]="Refunded"),"Review","OK")</f>
        <v>OK</v>
      </c>
      <c r="S51" s="6" t="str">
        <f>IF(Table16[[#This Row],[Net_Sales]]&gt;25000,"Hgh",IF(Table16[[#This Row],[Net_Sales]]&gt;10000,"Medium","Low"))</f>
        <v>Low</v>
      </c>
      <c r="T51" s="6" t="b">
        <f>AND(Table16[[#This Row],[Quantity]]&gt;=5,Table16[[#This Row],[Discount_Rate]]&gt;=10%)</f>
        <v>0</v>
      </c>
      <c r="U51" s="6" t="b">
        <f>OR(Table16[[#This Row],[Payment_Method]]="UPI",Table16[[#This Row],[Payment_Method]]="Cash")</f>
        <v>1</v>
      </c>
      <c r="V51" s="6">
        <f>IFERROR(Table16[[#This Row],[Net_Sales]]/Table16[[#This Row],[Quantity]],"ERROR")</f>
        <v>220</v>
      </c>
      <c r="W51" s="6" t="str">
        <f>PROPER(TRIM(Table16[[#This Row],[Customer_Name]]))</f>
        <v>Xenia Stores</v>
      </c>
      <c r="X51" s="6" t="str">
        <f>PROPER(TRIM(Table16[[#This Row],[Region]]))</f>
        <v>South</v>
      </c>
      <c r="Y51" s="6">
        <f>YEAR(Table16[[#This Row],[Date]])</f>
        <v>2026</v>
      </c>
      <c r="Z51" s="6">
        <f>MONTH(Table16[[#This Row],[Date]])</f>
        <v>4</v>
      </c>
      <c r="AA51" s="6" t="str">
        <f>MID(Table16[[#This Row],[Transaction_ID]],4,7)</f>
        <v>1050</v>
      </c>
      <c r="AB51" s="6" t="str">
        <f>_xlfn.CONCAT(Table16[[#This Row],[Region]],"-",Table16[[#This Row],[Category]])</f>
        <v>South-Office</v>
      </c>
    </row>
    <row r="52" spans="1:28">
      <c r="A52" s="4" t="s">
        <v>188</v>
      </c>
      <c r="B52" s="5">
        <v>46124</v>
      </c>
      <c r="C52" s="6" t="s">
        <v>31</v>
      </c>
      <c r="D52" s="6" t="s">
        <v>39</v>
      </c>
      <c r="E52" s="6" t="s">
        <v>189</v>
      </c>
      <c r="F52" s="6" t="s">
        <v>47</v>
      </c>
      <c r="G52" s="6" t="s">
        <v>190</v>
      </c>
      <c r="H52" s="6">
        <v>4</v>
      </c>
      <c r="I52" s="7">
        <v>3600</v>
      </c>
      <c r="J52" s="8">
        <v>0.05</v>
      </c>
      <c r="K52" s="6" t="s">
        <v>43</v>
      </c>
      <c r="L52" s="6" t="s">
        <v>20</v>
      </c>
      <c r="M52" s="6" t="s">
        <v>36</v>
      </c>
      <c r="N52" s="6">
        <f>Table16[[#This Row],[Quantity]]*Table16[[#This Row],[Unit_Price_INR]]</f>
        <v>14400</v>
      </c>
      <c r="O52" s="6">
        <f>Table16[[#This Row],[Gross sales]]*Table16[[#This Row],[Discount_Rate]]</f>
        <v>720</v>
      </c>
      <c r="P52" s="6">
        <f>Table16[[#This Row],[Gross sales]]-Table16[[#This Row],[Discount_Amount]]</f>
        <v>13680</v>
      </c>
      <c r="Q52" s="6" t="str">
        <f>TEXT(Table16[[#This Row],[Date]],"mmmm")</f>
        <v>April</v>
      </c>
      <c r="R52" s="9" t="str">
        <f>IF(OR(Table16[[#This Row],[Status]]="Pending",Table16[[#This Row],[Status]]="Refunded"),"Review","OK")</f>
        <v>OK</v>
      </c>
      <c r="S52" s="6" t="str">
        <f>IF(Table16[[#This Row],[Net_Sales]]&gt;25000,"Hgh",IF(Table16[[#This Row],[Net_Sales]]&gt;10000,"Medium","Low"))</f>
        <v>Medium</v>
      </c>
      <c r="T52" s="6" t="b">
        <f>AND(Table16[[#This Row],[Quantity]]&gt;=5,Table16[[#This Row],[Discount_Rate]]&gt;=10%)</f>
        <v>0</v>
      </c>
      <c r="U52" s="6" t="b">
        <f>OR(Table16[[#This Row],[Payment_Method]]="UPI",Table16[[#This Row],[Payment_Method]]="Cash")</f>
        <v>0</v>
      </c>
      <c r="V52" s="6">
        <f>IFERROR(Table16[[#This Row],[Net_Sales]]/Table16[[#This Row],[Quantity]],"ERROR")</f>
        <v>3420</v>
      </c>
      <c r="W52" s="6" t="str">
        <f>PROPER(TRIM(Table16[[#This Row],[Customer_Name]]))</f>
        <v>Yonder Distributors</v>
      </c>
      <c r="X52" s="6" t="str">
        <f>PROPER(TRIM(Table16[[#This Row],[Region]]))</f>
        <v>West</v>
      </c>
      <c r="Y52" s="6">
        <f>YEAR(Table16[[#This Row],[Date]])</f>
        <v>2026</v>
      </c>
      <c r="Z52" s="6">
        <f>MONTH(Table16[[#This Row],[Date]])</f>
        <v>4</v>
      </c>
      <c r="AA52" s="6" t="str">
        <f>MID(Table16[[#This Row],[Transaction_ID]],4,7)</f>
        <v>1051</v>
      </c>
      <c r="AB52" s="6" t="str">
        <f>_xlfn.CONCAT(Table16[[#This Row],[Region]],"-",Table16[[#This Row],[Category]])</f>
        <v>West-Fashion</v>
      </c>
    </row>
    <row r="53" spans="1:28" hidden="1">
      <c r="A53" s="10" t="s">
        <v>191</v>
      </c>
      <c r="B53" s="11">
        <v>46126</v>
      </c>
      <c r="C53" s="12" t="s">
        <v>38</v>
      </c>
      <c r="D53" s="12" t="s">
        <v>24</v>
      </c>
      <c r="E53" s="12" t="s">
        <v>192</v>
      </c>
      <c r="F53" s="12" t="s">
        <v>33</v>
      </c>
      <c r="G53" s="12" t="s">
        <v>193</v>
      </c>
      <c r="H53" s="12">
        <v>12</v>
      </c>
      <c r="I53" s="13">
        <v>440</v>
      </c>
      <c r="J53" s="14">
        <v>0.04</v>
      </c>
      <c r="K53" s="12" t="s">
        <v>19</v>
      </c>
      <c r="L53" s="12" t="s">
        <v>20</v>
      </c>
      <c r="M53" s="12" t="s">
        <v>44</v>
      </c>
      <c r="N53" s="6">
        <f>Table16[[#This Row],[Quantity]]*Table16[[#This Row],[Unit_Price_INR]]</f>
        <v>5280</v>
      </c>
      <c r="O53" s="6">
        <f>Table16[[#This Row],[Gross sales]]*Table16[[#This Row],[Discount_Rate]]</f>
        <v>211.20000000000002</v>
      </c>
      <c r="P53" s="6">
        <f>Table16[[#This Row],[Gross sales]]-Table16[[#This Row],[Discount_Amount]]</f>
        <v>5068.8</v>
      </c>
      <c r="Q53" s="6" t="str">
        <f>TEXT(Table16[[#This Row],[Date]],"mmmm")</f>
        <v>April</v>
      </c>
      <c r="R53" s="9" t="str">
        <f>IF(OR(Table16[[#This Row],[Status]]="Pending",Table16[[#This Row],[Status]]="Refunded"),"Review","OK")</f>
        <v>OK</v>
      </c>
      <c r="S53" s="6" t="str">
        <f>IF(Table16[[#This Row],[Net_Sales]]&gt;25000,"Hgh",IF(Table16[[#This Row],[Net_Sales]]&gt;10000,"Medium","Low"))</f>
        <v>Low</v>
      </c>
      <c r="T53" s="6" t="b">
        <f>AND(Table16[[#This Row],[Quantity]]&gt;=5,Table16[[#This Row],[Discount_Rate]]&gt;=10%)</f>
        <v>0</v>
      </c>
      <c r="U53" s="6" t="b">
        <f>OR(Table16[[#This Row],[Payment_Method]]="UPI",Table16[[#This Row],[Payment_Method]]="Cash")</f>
        <v>1</v>
      </c>
      <c r="V53" s="6">
        <f>IFERROR(Table16[[#This Row],[Net_Sales]]/Table16[[#This Row],[Quantity]],"ERROR")</f>
        <v>422.40000000000003</v>
      </c>
      <c r="W53" s="6" t="str">
        <f>PROPER(TRIM(Table16[[#This Row],[Customer_Name]]))</f>
        <v>Zest Shop</v>
      </c>
      <c r="X53" s="6" t="str">
        <f>PROPER(TRIM(Table16[[#This Row],[Region]]))</f>
        <v>East</v>
      </c>
      <c r="Y53" s="6">
        <f>YEAR(Table16[[#This Row],[Date]])</f>
        <v>2026</v>
      </c>
      <c r="Z53" s="6">
        <f>MONTH(Table16[[#This Row],[Date]])</f>
        <v>4</v>
      </c>
      <c r="AA53" s="6" t="str">
        <f>MID(Table16[[#This Row],[Transaction_ID]],4,7)</f>
        <v>1052</v>
      </c>
      <c r="AB53" s="6" t="str">
        <f>_xlfn.CONCAT(Table16[[#This Row],[Region]],"-",Table16[[#This Row],[Category]])</f>
        <v>East-Grocery</v>
      </c>
    </row>
    <row r="54" spans="1:28">
      <c r="A54" s="4" t="s">
        <v>194</v>
      </c>
      <c r="B54" s="5">
        <v>46128</v>
      </c>
      <c r="C54" s="6" t="s">
        <v>14</v>
      </c>
      <c r="D54" s="6" t="s">
        <v>15</v>
      </c>
      <c r="E54" s="6" t="s">
        <v>195</v>
      </c>
      <c r="F54" s="6" t="s">
        <v>26</v>
      </c>
      <c r="G54" s="6" t="s">
        <v>196</v>
      </c>
      <c r="H54" s="6">
        <v>4</v>
      </c>
      <c r="I54" s="7">
        <v>3900</v>
      </c>
      <c r="J54" s="8">
        <v>0.08</v>
      </c>
      <c r="K54" s="6" t="s">
        <v>28</v>
      </c>
      <c r="L54" s="6" t="s">
        <v>20</v>
      </c>
      <c r="M54" s="6" t="s">
        <v>21</v>
      </c>
      <c r="N54" s="6">
        <f>Table16[[#This Row],[Quantity]]*Table16[[#This Row],[Unit_Price_INR]]</f>
        <v>15600</v>
      </c>
      <c r="O54" s="6">
        <f>Table16[[#This Row],[Gross sales]]*Table16[[#This Row],[Discount_Rate]]</f>
        <v>1248</v>
      </c>
      <c r="P54" s="6">
        <f>Table16[[#This Row],[Gross sales]]-Table16[[#This Row],[Discount_Amount]]</f>
        <v>14352</v>
      </c>
      <c r="Q54" s="6" t="str">
        <f>TEXT(Table16[[#This Row],[Date]],"mmmm")</f>
        <v>April</v>
      </c>
      <c r="R54" s="9" t="str">
        <f>IF(OR(Table16[[#This Row],[Status]]="Pending",Table16[[#This Row],[Status]]="Refunded"),"Review","OK")</f>
        <v>OK</v>
      </c>
      <c r="S54" s="6" t="str">
        <f>IF(Table16[[#This Row],[Net_Sales]]&gt;25000,"Hgh",IF(Table16[[#This Row],[Net_Sales]]&gt;10000,"Medium","Low"))</f>
        <v>Medium</v>
      </c>
      <c r="T54" s="6" t="b">
        <f>AND(Table16[[#This Row],[Quantity]]&gt;=5,Table16[[#This Row],[Discount_Rate]]&gt;=10%)</f>
        <v>0</v>
      </c>
      <c r="U54" s="6" t="b">
        <f>OR(Table16[[#This Row],[Payment_Method]]="UPI",Table16[[#This Row],[Payment_Method]]="Cash")</f>
        <v>0</v>
      </c>
      <c r="V54" s="6">
        <f>IFERROR(Table16[[#This Row],[Net_Sales]]/Table16[[#This Row],[Quantity]],"ERROR")</f>
        <v>3588</v>
      </c>
      <c r="W54" s="6" t="str">
        <f>PROPER(TRIM(Table16[[#This Row],[Customer_Name]]))</f>
        <v>Amber Mart</v>
      </c>
      <c r="X54" s="6" t="str">
        <f>PROPER(TRIM(Table16[[#This Row],[Region]]))</f>
        <v>North</v>
      </c>
      <c r="Y54" s="6">
        <f>YEAR(Table16[[#This Row],[Date]])</f>
        <v>2026</v>
      </c>
      <c r="Z54" s="6">
        <f>MONTH(Table16[[#This Row],[Date]])</f>
        <v>4</v>
      </c>
      <c r="AA54" s="6" t="str">
        <f>MID(Table16[[#This Row],[Transaction_ID]],4,7)</f>
        <v>1053</v>
      </c>
      <c r="AB54" s="6" t="str">
        <f>_xlfn.CONCAT(Table16[[#This Row],[Region]],"-",Table16[[#This Row],[Category]])</f>
        <v>North-Home</v>
      </c>
    </row>
    <row r="55" spans="1:28" hidden="1">
      <c r="A55" s="10" t="s">
        <v>197</v>
      </c>
      <c r="B55" s="11">
        <v>46130</v>
      </c>
      <c r="C55" s="12" t="s">
        <v>23</v>
      </c>
      <c r="D55" s="12" t="s">
        <v>39</v>
      </c>
      <c r="E55" s="12" t="s">
        <v>198</v>
      </c>
      <c r="F55" s="12" t="s">
        <v>17</v>
      </c>
      <c r="G55" s="12" t="s">
        <v>199</v>
      </c>
      <c r="H55" s="12">
        <v>10</v>
      </c>
      <c r="I55" s="13">
        <v>2400</v>
      </c>
      <c r="J55" s="14">
        <v>0.06</v>
      </c>
      <c r="K55" s="12" t="s">
        <v>43</v>
      </c>
      <c r="L55" s="12" t="s">
        <v>56</v>
      </c>
      <c r="M55" s="12" t="s">
        <v>29</v>
      </c>
      <c r="N55" s="6">
        <f>Table16[[#This Row],[Quantity]]*Table16[[#This Row],[Unit_Price_INR]]</f>
        <v>24000</v>
      </c>
      <c r="O55" s="6">
        <f>Table16[[#This Row],[Gross sales]]*Table16[[#This Row],[Discount_Rate]]</f>
        <v>1440</v>
      </c>
      <c r="P55" s="6">
        <f>Table16[[#This Row],[Gross sales]]-Table16[[#This Row],[Discount_Amount]]</f>
        <v>22560</v>
      </c>
      <c r="Q55" s="6" t="str">
        <f>TEXT(Table16[[#This Row],[Date]],"mmmm")</f>
        <v>April</v>
      </c>
      <c r="R55" s="9" t="str">
        <f>IF(OR(Table16[[#This Row],[Status]]="Pending",Table16[[#This Row],[Status]]="Refunded"),"Review","OK")</f>
        <v>Review</v>
      </c>
      <c r="S55" s="6" t="str">
        <f>IF(Table16[[#This Row],[Net_Sales]]&gt;25000,"Hgh",IF(Table16[[#This Row],[Net_Sales]]&gt;10000,"Medium","Low"))</f>
        <v>Medium</v>
      </c>
      <c r="T55" s="6" t="b">
        <f>AND(Table16[[#This Row],[Quantity]]&gt;=5,Table16[[#This Row],[Discount_Rate]]&gt;=10%)</f>
        <v>0</v>
      </c>
      <c r="U55" s="6" t="b">
        <f>OR(Table16[[#This Row],[Payment_Method]]="UPI",Table16[[#This Row],[Payment_Method]]="Cash")</f>
        <v>0</v>
      </c>
      <c r="V55" s="6">
        <f>IFERROR(Table16[[#This Row],[Net_Sales]]/Table16[[#This Row],[Quantity]],"ERROR")</f>
        <v>2256</v>
      </c>
      <c r="W55" s="6" t="str">
        <f>PROPER(TRIM(Table16[[#This Row],[Customer_Name]]))</f>
        <v>Beacon Traders</v>
      </c>
      <c r="X55" s="6" t="str">
        <f>PROPER(TRIM(Table16[[#This Row],[Region]]))</f>
        <v>South</v>
      </c>
      <c r="Y55" s="6">
        <f>YEAR(Table16[[#This Row],[Date]])</f>
        <v>2026</v>
      </c>
      <c r="Z55" s="6">
        <f>MONTH(Table16[[#This Row],[Date]])</f>
        <v>4</v>
      </c>
      <c r="AA55" s="6" t="str">
        <f>MID(Table16[[#This Row],[Transaction_ID]],4,7)</f>
        <v>1054</v>
      </c>
      <c r="AB55" s="6" t="str">
        <f>_xlfn.CONCAT(Table16[[#This Row],[Region]],"-",Table16[[#This Row],[Category]])</f>
        <v>South-Electronics</v>
      </c>
    </row>
    <row r="56" spans="1:28">
      <c r="A56" s="4" t="s">
        <v>200</v>
      </c>
      <c r="B56" s="5">
        <v>46132</v>
      </c>
      <c r="C56" s="6" t="s">
        <v>31</v>
      </c>
      <c r="D56" s="6" t="s">
        <v>24</v>
      </c>
      <c r="E56" s="6" t="s">
        <v>201</v>
      </c>
      <c r="F56" s="6" t="s">
        <v>41</v>
      </c>
      <c r="G56" s="6" t="s">
        <v>202</v>
      </c>
      <c r="H56" s="6">
        <v>7</v>
      </c>
      <c r="I56" s="7">
        <v>1850</v>
      </c>
      <c r="J56" s="8">
        <v>0.05</v>
      </c>
      <c r="K56" s="6" t="s">
        <v>28</v>
      </c>
      <c r="L56" s="6" t="s">
        <v>20</v>
      </c>
      <c r="M56" s="6" t="s">
        <v>36</v>
      </c>
      <c r="N56" s="6">
        <f>Table16[[#This Row],[Quantity]]*Table16[[#This Row],[Unit_Price_INR]]</f>
        <v>12950</v>
      </c>
      <c r="O56" s="6">
        <f>Table16[[#This Row],[Gross sales]]*Table16[[#This Row],[Discount_Rate]]</f>
        <v>647.5</v>
      </c>
      <c r="P56" s="6">
        <f>Table16[[#This Row],[Gross sales]]-Table16[[#This Row],[Discount_Amount]]</f>
        <v>12302.5</v>
      </c>
      <c r="Q56" s="6" t="str">
        <f>TEXT(Table16[[#This Row],[Date]],"mmmm")</f>
        <v>April</v>
      </c>
      <c r="R56" s="9" t="str">
        <f>IF(OR(Table16[[#This Row],[Status]]="Pending",Table16[[#This Row],[Status]]="Refunded"),"Review","OK")</f>
        <v>OK</v>
      </c>
      <c r="S56" s="6" t="str">
        <f>IF(Table16[[#This Row],[Net_Sales]]&gt;25000,"Hgh",IF(Table16[[#This Row],[Net_Sales]]&gt;10000,"Medium","Low"))</f>
        <v>Medium</v>
      </c>
      <c r="T56" s="6" t="b">
        <f>AND(Table16[[#This Row],[Quantity]]&gt;=5,Table16[[#This Row],[Discount_Rate]]&gt;=10%)</f>
        <v>0</v>
      </c>
      <c r="U56" s="6" t="b">
        <f>OR(Table16[[#This Row],[Payment_Method]]="UPI",Table16[[#This Row],[Payment_Method]]="Cash")</f>
        <v>0</v>
      </c>
      <c r="V56" s="6">
        <f>IFERROR(Table16[[#This Row],[Net_Sales]]/Table16[[#This Row],[Quantity]],"ERROR")</f>
        <v>1757.5</v>
      </c>
      <c r="W56" s="6" t="str">
        <f>PROPER(TRIM(Table16[[#This Row],[Customer_Name]]))</f>
        <v>Cedar Store</v>
      </c>
      <c r="X56" s="6" t="str">
        <f>PROPER(TRIM(Table16[[#This Row],[Region]]))</f>
        <v>West</v>
      </c>
      <c r="Y56" s="6">
        <f>YEAR(Table16[[#This Row],[Date]])</f>
        <v>2026</v>
      </c>
      <c r="Z56" s="6">
        <f>MONTH(Table16[[#This Row],[Date]])</f>
        <v>4</v>
      </c>
      <c r="AA56" s="6" t="str">
        <f>MID(Table16[[#This Row],[Transaction_ID]],4,7)</f>
        <v>1055</v>
      </c>
      <c r="AB56" s="6" t="str">
        <f>_xlfn.CONCAT(Table16[[#This Row],[Region]],"-",Table16[[#This Row],[Category]])</f>
        <v>West-Office</v>
      </c>
    </row>
    <row r="57" spans="1:28">
      <c r="A57" s="10" t="s">
        <v>203</v>
      </c>
      <c r="B57" s="11">
        <v>46134</v>
      </c>
      <c r="C57" s="12" t="s">
        <v>38</v>
      </c>
      <c r="D57" s="12" t="s">
        <v>15</v>
      </c>
      <c r="E57" s="12" t="s">
        <v>204</v>
      </c>
      <c r="F57" s="12" t="s">
        <v>47</v>
      </c>
      <c r="G57" s="12" t="s">
        <v>205</v>
      </c>
      <c r="H57" s="12">
        <v>13</v>
      </c>
      <c r="I57" s="13">
        <v>950</v>
      </c>
      <c r="J57" s="14">
        <v>0.1</v>
      </c>
      <c r="K57" s="12" t="s">
        <v>19</v>
      </c>
      <c r="L57" s="12" t="s">
        <v>20</v>
      </c>
      <c r="M57" s="12" t="s">
        <v>44</v>
      </c>
      <c r="N57" s="6">
        <f>Table16[[#This Row],[Quantity]]*Table16[[#This Row],[Unit_Price_INR]]</f>
        <v>12350</v>
      </c>
      <c r="O57" s="6">
        <f>Table16[[#This Row],[Gross sales]]*Table16[[#This Row],[Discount_Rate]]</f>
        <v>1235</v>
      </c>
      <c r="P57" s="6">
        <f>Table16[[#This Row],[Gross sales]]-Table16[[#This Row],[Discount_Amount]]</f>
        <v>11115</v>
      </c>
      <c r="Q57" s="6" t="str">
        <f>TEXT(Table16[[#This Row],[Date]],"mmmm")</f>
        <v>April</v>
      </c>
      <c r="R57" s="9" t="str">
        <f>IF(OR(Table16[[#This Row],[Status]]="Pending",Table16[[#This Row],[Status]]="Refunded"),"Review","OK")</f>
        <v>OK</v>
      </c>
      <c r="S57" s="6" t="str">
        <f>IF(Table16[[#This Row],[Net_Sales]]&gt;25000,"Hgh",IF(Table16[[#This Row],[Net_Sales]]&gt;10000,"Medium","Low"))</f>
        <v>Medium</v>
      </c>
      <c r="T57" s="6" t="b">
        <f>AND(Table16[[#This Row],[Quantity]]&gt;=5,Table16[[#This Row],[Discount_Rate]]&gt;=10%)</f>
        <v>1</v>
      </c>
      <c r="U57" s="6" t="b">
        <f>OR(Table16[[#This Row],[Payment_Method]]="UPI",Table16[[#This Row],[Payment_Method]]="Cash")</f>
        <v>1</v>
      </c>
      <c r="V57" s="6">
        <f>IFERROR(Table16[[#This Row],[Net_Sales]]/Table16[[#This Row],[Quantity]],"ERROR")</f>
        <v>855</v>
      </c>
      <c r="W57" s="6" t="str">
        <f>PROPER(TRIM(Table16[[#This Row],[Customer_Name]]))</f>
        <v>Driftwood Shop</v>
      </c>
      <c r="X57" s="6" t="str">
        <f>PROPER(TRIM(Table16[[#This Row],[Region]]))</f>
        <v>East</v>
      </c>
      <c r="Y57" s="6">
        <f>YEAR(Table16[[#This Row],[Date]])</f>
        <v>2026</v>
      </c>
      <c r="Z57" s="6">
        <f>MONTH(Table16[[#This Row],[Date]])</f>
        <v>4</v>
      </c>
      <c r="AA57" s="6" t="str">
        <f>MID(Table16[[#This Row],[Transaction_ID]],4,7)</f>
        <v>1056</v>
      </c>
      <c r="AB57" s="6" t="str">
        <f>_xlfn.CONCAT(Table16[[#This Row],[Region]],"-",Table16[[#This Row],[Category]])</f>
        <v>East-Fashion</v>
      </c>
    </row>
    <row r="58" spans="1:28">
      <c r="A58" s="4" t="s">
        <v>206</v>
      </c>
      <c r="B58" s="5">
        <v>46136</v>
      </c>
      <c r="C58" s="6" t="s">
        <v>14</v>
      </c>
      <c r="D58" s="6" t="s">
        <v>39</v>
      </c>
      <c r="E58" s="6" t="s">
        <v>207</v>
      </c>
      <c r="F58" s="6" t="s">
        <v>33</v>
      </c>
      <c r="G58" s="6" t="s">
        <v>208</v>
      </c>
      <c r="H58" s="6">
        <v>16</v>
      </c>
      <c r="I58" s="7">
        <v>880</v>
      </c>
      <c r="J58" s="8">
        <v>0.02</v>
      </c>
      <c r="K58" s="6" t="s">
        <v>43</v>
      </c>
      <c r="L58" s="6" t="s">
        <v>20</v>
      </c>
      <c r="M58" s="6" t="s">
        <v>21</v>
      </c>
      <c r="N58" s="6">
        <f>Table16[[#This Row],[Quantity]]*Table16[[#This Row],[Unit_Price_INR]]</f>
        <v>14080</v>
      </c>
      <c r="O58" s="6">
        <f>Table16[[#This Row],[Gross sales]]*Table16[[#This Row],[Discount_Rate]]</f>
        <v>281.60000000000002</v>
      </c>
      <c r="P58" s="6">
        <f>Table16[[#This Row],[Gross sales]]-Table16[[#This Row],[Discount_Amount]]</f>
        <v>13798.4</v>
      </c>
      <c r="Q58" s="6" t="str">
        <f>TEXT(Table16[[#This Row],[Date]],"mmmm")</f>
        <v>April</v>
      </c>
      <c r="R58" s="9" t="str">
        <f>IF(OR(Table16[[#This Row],[Status]]="Pending",Table16[[#This Row],[Status]]="Refunded"),"Review","OK")</f>
        <v>OK</v>
      </c>
      <c r="S58" s="6" t="str">
        <f>IF(Table16[[#This Row],[Net_Sales]]&gt;25000,"Hgh",IF(Table16[[#This Row],[Net_Sales]]&gt;10000,"Medium","Low"))</f>
        <v>Medium</v>
      </c>
      <c r="T58" s="6" t="b">
        <f>AND(Table16[[#This Row],[Quantity]]&gt;=5,Table16[[#This Row],[Discount_Rate]]&gt;=10%)</f>
        <v>0</v>
      </c>
      <c r="U58" s="6" t="b">
        <f>OR(Table16[[#This Row],[Payment_Method]]="UPI",Table16[[#This Row],[Payment_Method]]="Cash")</f>
        <v>0</v>
      </c>
      <c r="V58" s="6">
        <f>IFERROR(Table16[[#This Row],[Net_Sales]]/Table16[[#This Row],[Quantity]],"ERROR")</f>
        <v>862.4</v>
      </c>
      <c r="W58" s="6" t="str">
        <f>PROPER(TRIM(Table16[[#This Row],[Customer_Name]]))</f>
        <v>Ember Distributors</v>
      </c>
      <c r="X58" s="6" t="str">
        <f>PROPER(TRIM(Table16[[#This Row],[Region]]))</f>
        <v>North</v>
      </c>
      <c r="Y58" s="6">
        <f>YEAR(Table16[[#This Row],[Date]])</f>
        <v>2026</v>
      </c>
      <c r="Z58" s="6">
        <f>MONTH(Table16[[#This Row],[Date]])</f>
        <v>4</v>
      </c>
      <c r="AA58" s="6" t="str">
        <f>MID(Table16[[#This Row],[Transaction_ID]],4,7)</f>
        <v>1057</v>
      </c>
      <c r="AB58" s="6" t="str">
        <f>_xlfn.CONCAT(Table16[[#This Row],[Region]],"-",Table16[[#This Row],[Category]])</f>
        <v>North-Grocery</v>
      </c>
    </row>
    <row r="59" spans="1:28" hidden="1">
      <c r="A59" s="10" t="s">
        <v>209</v>
      </c>
      <c r="B59" s="11">
        <v>46138</v>
      </c>
      <c r="C59" s="12" t="s">
        <v>23</v>
      </c>
      <c r="D59" s="12" t="s">
        <v>24</v>
      </c>
      <c r="E59" s="12" t="s">
        <v>210</v>
      </c>
      <c r="F59" s="12" t="s">
        <v>26</v>
      </c>
      <c r="G59" s="12" t="s">
        <v>211</v>
      </c>
      <c r="H59" s="12">
        <v>6</v>
      </c>
      <c r="I59" s="13">
        <v>1750</v>
      </c>
      <c r="J59" s="14">
        <v>0.05</v>
      </c>
      <c r="K59" s="12" t="s">
        <v>28</v>
      </c>
      <c r="L59" s="12" t="s">
        <v>20</v>
      </c>
      <c r="M59" s="12" t="s">
        <v>52</v>
      </c>
      <c r="N59" s="6">
        <f>Table16[[#This Row],[Quantity]]*Table16[[#This Row],[Unit_Price_INR]]</f>
        <v>10500</v>
      </c>
      <c r="O59" s="6">
        <f>Table16[[#This Row],[Gross sales]]*Table16[[#This Row],[Discount_Rate]]</f>
        <v>525</v>
      </c>
      <c r="P59" s="6">
        <f>Table16[[#This Row],[Gross sales]]-Table16[[#This Row],[Discount_Amount]]</f>
        <v>9975</v>
      </c>
      <c r="Q59" s="6" t="str">
        <f>TEXT(Table16[[#This Row],[Date]],"mmmm")</f>
        <v>April</v>
      </c>
      <c r="R59" s="9" t="str">
        <f>IF(OR(Table16[[#This Row],[Status]]="Pending",Table16[[#This Row],[Status]]="Refunded"),"Review","OK")</f>
        <v>OK</v>
      </c>
      <c r="S59" s="6" t="str">
        <f>IF(Table16[[#This Row],[Net_Sales]]&gt;25000,"Hgh",IF(Table16[[#This Row],[Net_Sales]]&gt;10000,"Medium","Low"))</f>
        <v>Low</v>
      </c>
      <c r="T59" s="6" t="b">
        <f>AND(Table16[[#This Row],[Quantity]]&gt;=5,Table16[[#This Row],[Discount_Rate]]&gt;=10%)</f>
        <v>0</v>
      </c>
      <c r="U59" s="6" t="b">
        <f>OR(Table16[[#This Row],[Payment_Method]]="UPI",Table16[[#This Row],[Payment_Method]]="Cash")</f>
        <v>0</v>
      </c>
      <c r="V59" s="6">
        <f>IFERROR(Table16[[#This Row],[Net_Sales]]/Table16[[#This Row],[Quantity]],"ERROR")</f>
        <v>1662.5</v>
      </c>
      <c r="W59" s="6" t="str">
        <f>PROPER(TRIM(Table16[[#This Row],[Customer_Name]]))</f>
        <v>Flint Retail</v>
      </c>
      <c r="X59" s="6" t="str">
        <f>PROPER(TRIM(Table16[[#This Row],[Region]]))</f>
        <v>South</v>
      </c>
      <c r="Y59" s="6">
        <f>YEAR(Table16[[#This Row],[Date]])</f>
        <v>2026</v>
      </c>
      <c r="Z59" s="6">
        <f>MONTH(Table16[[#This Row],[Date]])</f>
        <v>4</v>
      </c>
      <c r="AA59" s="6" t="str">
        <f>MID(Table16[[#This Row],[Transaction_ID]],4,7)</f>
        <v>1058</v>
      </c>
      <c r="AB59" s="6" t="str">
        <f>_xlfn.CONCAT(Table16[[#This Row],[Region]],"-",Table16[[#This Row],[Category]])</f>
        <v>South-Home</v>
      </c>
    </row>
    <row r="60" spans="1:28">
      <c r="A60" s="4" t="s">
        <v>212</v>
      </c>
      <c r="B60" s="5">
        <v>46140</v>
      </c>
      <c r="C60" s="6" t="s">
        <v>31</v>
      </c>
      <c r="D60" s="6" t="s">
        <v>15</v>
      </c>
      <c r="E60" s="6" t="s">
        <v>213</v>
      </c>
      <c r="F60" s="6" t="s">
        <v>17</v>
      </c>
      <c r="G60" s="6" t="s">
        <v>214</v>
      </c>
      <c r="H60" s="6">
        <v>5</v>
      </c>
      <c r="I60" s="7">
        <v>5300</v>
      </c>
      <c r="J60" s="8">
        <v>0.08</v>
      </c>
      <c r="K60" s="6" t="s">
        <v>19</v>
      </c>
      <c r="L60" s="6" t="s">
        <v>20</v>
      </c>
      <c r="M60" s="6" t="s">
        <v>36</v>
      </c>
      <c r="N60" s="6">
        <f>Table16[[#This Row],[Quantity]]*Table16[[#This Row],[Unit_Price_INR]]</f>
        <v>26500</v>
      </c>
      <c r="O60" s="6">
        <f>Table16[[#This Row],[Gross sales]]*Table16[[#This Row],[Discount_Rate]]</f>
        <v>2120</v>
      </c>
      <c r="P60" s="6">
        <f>Table16[[#This Row],[Gross sales]]-Table16[[#This Row],[Discount_Amount]]</f>
        <v>24380</v>
      </c>
      <c r="Q60" s="6" t="str">
        <f>TEXT(Table16[[#This Row],[Date]],"mmmm")</f>
        <v>April</v>
      </c>
      <c r="R60" s="9" t="str">
        <f>IF(OR(Table16[[#This Row],[Status]]="Pending",Table16[[#This Row],[Status]]="Refunded"),"Review","OK")</f>
        <v>OK</v>
      </c>
      <c r="S60" s="6" t="str">
        <f>IF(Table16[[#This Row],[Net_Sales]]&gt;25000,"Hgh",IF(Table16[[#This Row],[Net_Sales]]&gt;10000,"Medium","Low"))</f>
        <v>Medium</v>
      </c>
      <c r="T60" s="6" t="b">
        <f>AND(Table16[[#This Row],[Quantity]]&gt;=5,Table16[[#This Row],[Discount_Rate]]&gt;=10%)</f>
        <v>0</v>
      </c>
      <c r="U60" s="6" t="b">
        <f>OR(Table16[[#This Row],[Payment_Method]]="UPI",Table16[[#This Row],[Payment_Method]]="Cash")</f>
        <v>1</v>
      </c>
      <c r="V60" s="6">
        <f>IFERROR(Table16[[#This Row],[Net_Sales]]/Table16[[#This Row],[Quantity]],"ERROR")</f>
        <v>4876</v>
      </c>
      <c r="W60" s="6" t="str">
        <f>PROPER(TRIM(Table16[[#This Row],[Customer_Name]]))</f>
        <v>Glacier Market</v>
      </c>
      <c r="X60" s="6" t="str">
        <f>PROPER(TRIM(Table16[[#This Row],[Region]]))</f>
        <v>West</v>
      </c>
      <c r="Y60" s="6">
        <f>YEAR(Table16[[#This Row],[Date]])</f>
        <v>2026</v>
      </c>
      <c r="Z60" s="6">
        <f>MONTH(Table16[[#This Row],[Date]])</f>
        <v>4</v>
      </c>
      <c r="AA60" s="6" t="str">
        <f>MID(Table16[[#This Row],[Transaction_ID]],4,7)</f>
        <v>1059</v>
      </c>
      <c r="AB60" s="6" t="str">
        <f>_xlfn.CONCAT(Table16[[#This Row],[Region]],"-",Table16[[#This Row],[Category]])</f>
        <v>West-Electronics</v>
      </c>
    </row>
    <row r="61" spans="1:28">
      <c r="A61" s="10" t="s">
        <v>215</v>
      </c>
      <c r="B61" s="11">
        <v>46142</v>
      </c>
      <c r="C61" s="12" t="s">
        <v>38</v>
      </c>
      <c r="D61" s="12" t="s">
        <v>39</v>
      </c>
      <c r="E61" s="12" t="s">
        <v>216</v>
      </c>
      <c r="F61" s="12" t="s">
        <v>41</v>
      </c>
      <c r="G61" s="12" t="s">
        <v>217</v>
      </c>
      <c r="H61" s="12">
        <v>3</v>
      </c>
      <c r="I61" s="13">
        <v>6900</v>
      </c>
      <c r="J61" s="14">
        <v>0.06</v>
      </c>
      <c r="K61" s="12" t="s">
        <v>43</v>
      </c>
      <c r="L61" s="12" t="s">
        <v>20</v>
      </c>
      <c r="M61" s="12" t="s">
        <v>44</v>
      </c>
      <c r="N61" s="6">
        <f>Table16[[#This Row],[Quantity]]*Table16[[#This Row],[Unit_Price_INR]]</f>
        <v>20700</v>
      </c>
      <c r="O61" s="6">
        <f>Table16[[#This Row],[Gross sales]]*Table16[[#This Row],[Discount_Rate]]</f>
        <v>1242</v>
      </c>
      <c r="P61" s="6">
        <f>Table16[[#This Row],[Gross sales]]-Table16[[#This Row],[Discount_Amount]]</f>
        <v>19458</v>
      </c>
      <c r="Q61" s="6" t="str">
        <f>TEXT(Table16[[#This Row],[Date]],"mmmm")</f>
        <v>April</v>
      </c>
      <c r="R61" s="9" t="str">
        <f>IF(OR(Table16[[#This Row],[Status]]="Pending",Table16[[#This Row],[Status]]="Refunded"),"Review","OK")</f>
        <v>OK</v>
      </c>
      <c r="S61" s="6" t="str">
        <f>IF(Table16[[#This Row],[Net_Sales]]&gt;25000,"Hgh",IF(Table16[[#This Row],[Net_Sales]]&gt;10000,"Medium","Low"))</f>
        <v>Medium</v>
      </c>
      <c r="T61" s="6" t="b">
        <f>AND(Table16[[#This Row],[Quantity]]&gt;=5,Table16[[#This Row],[Discount_Rate]]&gt;=10%)</f>
        <v>0</v>
      </c>
      <c r="U61" s="6" t="b">
        <f>OR(Table16[[#This Row],[Payment_Method]]="UPI",Table16[[#This Row],[Payment_Method]]="Cash")</f>
        <v>0</v>
      </c>
      <c r="V61" s="6">
        <f>IFERROR(Table16[[#This Row],[Net_Sales]]/Table16[[#This Row],[Quantity]],"ERROR")</f>
        <v>6486</v>
      </c>
      <c r="W61" s="6" t="str">
        <f>PROPER(TRIM(Table16[[#This Row],[Customer_Name]]))</f>
        <v>Horizon Traders</v>
      </c>
      <c r="X61" s="6" t="str">
        <f>PROPER(TRIM(Table16[[#This Row],[Region]]))</f>
        <v>East</v>
      </c>
      <c r="Y61" s="6">
        <f>YEAR(Table16[[#This Row],[Date]])</f>
        <v>2026</v>
      </c>
      <c r="Z61" s="6">
        <f>MONTH(Table16[[#This Row],[Date]])</f>
        <v>4</v>
      </c>
      <c r="AA61" s="6" t="str">
        <f>MID(Table16[[#This Row],[Transaction_ID]],4,7)</f>
        <v>1060</v>
      </c>
      <c r="AB61" s="6" t="str">
        <f>_xlfn.CONCAT(Table16[[#This Row],[Region]],"-",Table16[[#This Row],[Category]])</f>
        <v>East-Office</v>
      </c>
    </row>
    <row r="62" spans="1:28" hidden="1">
      <c r="A62" s="4" t="s">
        <v>218</v>
      </c>
      <c r="B62" s="5">
        <v>46144</v>
      </c>
      <c r="C62" s="6" t="s">
        <v>219</v>
      </c>
      <c r="D62" s="6" t="s">
        <v>24</v>
      </c>
      <c r="E62" s="6" t="s">
        <v>220</v>
      </c>
      <c r="F62" s="6" t="s">
        <v>17</v>
      </c>
      <c r="G62" s="6" t="s">
        <v>221</v>
      </c>
      <c r="H62" s="6">
        <v>6</v>
      </c>
      <c r="I62" s="7">
        <v>850</v>
      </c>
      <c r="J62" s="8">
        <v>0.05</v>
      </c>
      <c r="K62" s="6" t="s">
        <v>19</v>
      </c>
      <c r="L62" s="6" t="s">
        <v>20</v>
      </c>
      <c r="M62" s="6" t="s">
        <v>21</v>
      </c>
      <c r="N62" s="6">
        <f>Table16[[#This Row],[Quantity]]*Table16[[#This Row],[Unit_Price_INR]]</f>
        <v>5100</v>
      </c>
      <c r="O62" s="6">
        <f>Table16[[#This Row],[Gross sales]]*Table16[[#This Row],[Discount_Rate]]</f>
        <v>255</v>
      </c>
      <c r="P62" s="6">
        <f>Table16[[#This Row],[Gross sales]]-Table16[[#This Row],[Discount_Amount]]</f>
        <v>4845</v>
      </c>
      <c r="Q62" s="6" t="str">
        <f>TEXT(Table16[[#This Row],[Date]],"mmmm")</f>
        <v>May</v>
      </c>
      <c r="R62" s="9" t="str">
        <f>IF(OR(Table16[[#This Row],[Status]]="Pending",Table16[[#This Row],[Status]]="Refunded"),"Review","OK")</f>
        <v>OK</v>
      </c>
      <c r="S62" s="6" t="str">
        <f>IF(Table16[[#This Row],[Net_Sales]]&gt;25000,"Hgh",IF(Table16[[#This Row],[Net_Sales]]&gt;10000,"Medium","Low"))</f>
        <v>Low</v>
      </c>
      <c r="T62" s="6" t="b">
        <f>AND(Table16[[#This Row],[Quantity]]&gt;=5,Table16[[#This Row],[Discount_Rate]]&gt;=10%)</f>
        <v>0</v>
      </c>
      <c r="U62" s="6" t="b">
        <f>OR(Table16[[#This Row],[Payment_Method]]="UPI",Table16[[#This Row],[Payment_Method]]="Cash")</f>
        <v>1</v>
      </c>
      <c r="V62" s="6">
        <f>IFERROR(Table16[[#This Row],[Net_Sales]]/Table16[[#This Row],[Quantity]],"ERROR")</f>
        <v>807.5</v>
      </c>
      <c r="W62" s="6" t="str">
        <f>PROPER(TRIM(Table16[[#This Row],[Customer_Name]]))</f>
        <v>Ivy Retail</v>
      </c>
      <c r="X62" s="6" t="str">
        <f>PROPER(TRIM(Table16[[#This Row],[Region]]))</f>
        <v>North</v>
      </c>
      <c r="Y62" s="6">
        <f>YEAR(Table16[[#This Row],[Date]])</f>
        <v>2026</v>
      </c>
      <c r="Z62" s="6">
        <f>MONTH(Table16[[#This Row],[Date]])</f>
        <v>5</v>
      </c>
      <c r="AA62" s="6" t="str">
        <f>MID(Table16[[#This Row],[Transaction_ID]],4,7)</f>
        <v>1061</v>
      </c>
      <c r="AB62" s="6" t="str">
        <f>_xlfn.CONCAT(Table16[[#This Row],[Region]],"-",Table16[[#This Row],[Category]])</f>
        <v xml:space="preserve"> north -Electronics</v>
      </c>
    </row>
    <row r="63" spans="1:28" hidden="1">
      <c r="A63" s="10" t="s">
        <v>222</v>
      </c>
      <c r="B63" s="11">
        <v>46145</v>
      </c>
      <c r="C63" s="12" t="s">
        <v>23</v>
      </c>
      <c r="D63" s="12" t="s">
        <v>15</v>
      </c>
      <c r="E63" s="12" t="s">
        <v>223</v>
      </c>
      <c r="F63" s="12" t="s">
        <v>26</v>
      </c>
      <c r="G63" s="12" t="s">
        <v>224</v>
      </c>
      <c r="H63" s="12">
        <v>4</v>
      </c>
      <c r="I63" s="13">
        <v>1650</v>
      </c>
      <c r="J63" s="14">
        <v>0.08</v>
      </c>
      <c r="K63" s="12" t="s">
        <v>28</v>
      </c>
      <c r="L63" s="12" t="s">
        <v>20</v>
      </c>
      <c r="M63" s="12" t="s">
        <v>52</v>
      </c>
      <c r="N63" s="6">
        <f>Table16[[#This Row],[Quantity]]*Table16[[#This Row],[Unit_Price_INR]]</f>
        <v>6600</v>
      </c>
      <c r="O63" s="6">
        <f>Table16[[#This Row],[Gross sales]]*Table16[[#This Row],[Discount_Rate]]</f>
        <v>528</v>
      </c>
      <c r="P63" s="6">
        <f>Table16[[#This Row],[Gross sales]]-Table16[[#This Row],[Discount_Amount]]</f>
        <v>6072</v>
      </c>
      <c r="Q63" s="6" t="str">
        <f>TEXT(Table16[[#This Row],[Date]],"mmmm")</f>
        <v>May</v>
      </c>
      <c r="R63" s="9" t="str">
        <f>IF(OR(Table16[[#This Row],[Status]]="Pending",Table16[[#This Row],[Status]]="Refunded"),"Review","OK")</f>
        <v>OK</v>
      </c>
      <c r="S63" s="6" t="str">
        <f>IF(Table16[[#This Row],[Net_Sales]]&gt;25000,"Hgh",IF(Table16[[#This Row],[Net_Sales]]&gt;10000,"Medium","Low"))</f>
        <v>Low</v>
      </c>
      <c r="T63" s="6" t="b">
        <f>AND(Table16[[#This Row],[Quantity]]&gt;=5,Table16[[#This Row],[Discount_Rate]]&gt;=10%)</f>
        <v>0</v>
      </c>
      <c r="U63" s="6" t="b">
        <f>OR(Table16[[#This Row],[Payment_Method]]="UPI",Table16[[#This Row],[Payment_Method]]="Cash")</f>
        <v>0</v>
      </c>
      <c r="V63" s="6">
        <f>IFERROR(Table16[[#This Row],[Net_Sales]]/Table16[[#This Row],[Quantity]],"ERROR")</f>
        <v>1518</v>
      </c>
      <c r="W63" s="6" t="str">
        <f>PROPER(TRIM(Table16[[#This Row],[Customer_Name]]))</f>
        <v>Jade Stores</v>
      </c>
      <c r="X63" s="6" t="str">
        <f>PROPER(TRIM(Table16[[#This Row],[Region]]))</f>
        <v>South</v>
      </c>
      <c r="Y63" s="6">
        <f>YEAR(Table16[[#This Row],[Date]])</f>
        <v>2026</v>
      </c>
      <c r="Z63" s="6">
        <f>MONTH(Table16[[#This Row],[Date]])</f>
        <v>5</v>
      </c>
      <c r="AA63" s="6" t="str">
        <f>MID(Table16[[#This Row],[Transaction_ID]],4,7)</f>
        <v>1062</v>
      </c>
      <c r="AB63" s="6" t="str">
        <f>_xlfn.CONCAT(Table16[[#This Row],[Region]],"-",Table16[[#This Row],[Category]])</f>
        <v>South-Home</v>
      </c>
    </row>
    <row r="64" spans="1:28" hidden="1">
      <c r="A64" s="4" t="s">
        <v>225</v>
      </c>
      <c r="B64" s="5">
        <v>46147</v>
      </c>
      <c r="C64" s="6" t="s">
        <v>31</v>
      </c>
      <c r="D64" s="6" t="s">
        <v>39</v>
      </c>
      <c r="E64" s="6" t="s">
        <v>226</v>
      </c>
      <c r="F64" s="6" t="s">
        <v>41</v>
      </c>
      <c r="G64" s="6" t="s">
        <v>227</v>
      </c>
      <c r="H64" s="6">
        <v>7</v>
      </c>
      <c r="I64" s="7">
        <v>1250</v>
      </c>
      <c r="J64" s="8">
        <v>0.04</v>
      </c>
      <c r="K64" s="6" t="s">
        <v>43</v>
      </c>
      <c r="L64" s="6" t="s">
        <v>56</v>
      </c>
      <c r="M64" s="6" t="s">
        <v>36</v>
      </c>
      <c r="N64" s="6">
        <f>Table16[[#This Row],[Quantity]]*Table16[[#This Row],[Unit_Price_INR]]</f>
        <v>8750</v>
      </c>
      <c r="O64" s="6">
        <f>Table16[[#This Row],[Gross sales]]*Table16[[#This Row],[Discount_Rate]]</f>
        <v>350</v>
      </c>
      <c r="P64" s="6">
        <f>Table16[[#This Row],[Gross sales]]-Table16[[#This Row],[Discount_Amount]]</f>
        <v>8400</v>
      </c>
      <c r="Q64" s="6" t="str">
        <f>TEXT(Table16[[#This Row],[Date]],"mmmm")</f>
        <v>May</v>
      </c>
      <c r="R64" s="9" t="str">
        <f>IF(OR(Table16[[#This Row],[Status]]="Pending",Table16[[#This Row],[Status]]="Refunded"),"Review","OK")</f>
        <v>Review</v>
      </c>
      <c r="S64" s="6" t="str">
        <f>IF(Table16[[#This Row],[Net_Sales]]&gt;25000,"Hgh",IF(Table16[[#This Row],[Net_Sales]]&gt;10000,"Medium","Low"))</f>
        <v>Low</v>
      </c>
      <c r="T64" s="6" t="b">
        <f>AND(Table16[[#This Row],[Quantity]]&gt;=5,Table16[[#This Row],[Discount_Rate]]&gt;=10%)</f>
        <v>0</v>
      </c>
      <c r="U64" s="6" t="b">
        <f>OR(Table16[[#This Row],[Payment_Method]]="UPI",Table16[[#This Row],[Payment_Method]]="Cash")</f>
        <v>0</v>
      </c>
      <c r="V64" s="6">
        <f>IFERROR(Table16[[#This Row],[Net_Sales]]/Table16[[#This Row],[Quantity]],"ERROR")</f>
        <v>1200</v>
      </c>
      <c r="W64" s="6" t="str">
        <f>PROPER(TRIM(Table16[[#This Row],[Customer_Name]]))</f>
        <v>Keystone Traders</v>
      </c>
      <c r="X64" s="6" t="str">
        <f>PROPER(TRIM(Table16[[#This Row],[Region]]))</f>
        <v>West</v>
      </c>
      <c r="Y64" s="6">
        <f>YEAR(Table16[[#This Row],[Date]])</f>
        <v>2026</v>
      </c>
      <c r="Z64" s="6">
        <f>MONTH(Table16[[#This Row],[Date]])</f>
        <v>5</v>
      </c>
      <c r="AA64" s="6" t="str">
        <f>MID(Table16[[#This Row],[Transaction_ID]],4,7)</f>
        <v>1063</v>
      </c>
      <c r="AB64" s="6" t="str">
        <f>_xlfn.CONCAT(Table16[[#This Row],[Region]],"-",Table16[[#This Row],[Category]])</f>
        <v>West-Office</v>
      </c>
    </row>
    <row r="65" spans="1:28" hidden="1">
      <c r="A65" s="4" t="s">
        <v>228</v>
      </c>
      <c r="B65" s="5">
        <v>46149</v>
      </c>
      <c r="C65" s="6" t="s">
        <v>38</v>
      </c>
      <c r="D65" s="6" t="s">
        <v>24</v>
      </c>
      <c r="E65" s="6" t="s">
        <v>229</v>
      </c>
      <c r="F65" s="6" t="s">
        <v>17</v>
      </c>
      <c r="G65" s="6" t="s">
        <v>230</v>
      </c>
      <c r="H65" s="6">
        <v>0</v>
      </c>
      <c r="I65" s="7">
        <v>450</v>
      </c>
      <c r="J65" s="8">
        <v>0</v>
      </c>
      <c r="K65" s="6" t="s">
        <v>35</v>
      </c>
      <c r="L65" s="6" t="s">
        <v>118</v>
      </c>
      <c r="M65" s="6" t="s">
        <v>44</v>
      </c>
      <c r="N65" s="6">
        <f>Table16[[#This Row],[Quantity]]*Table16[[#This Row],[Unit_Price_INR]]</f>
        <v>0</v>
      </c>
      <c r="O65" s="6">
        <f>Table16[[#This Row],[Gross sales]]*Table16[[#This Row],[Discount_Rate]]</f>
        <v>0</v>
      </c>
      <c r="P65" s="6">
        <f>Table16[[#This Row],[Gross sales]]-Table16[[#This Row],[Discount_Amount]]</f>
        <v>0</v>
      </c>
      <c r="Q65" s="6" t="str">
        <f>TEXT(Table16[[#This Row],[Date]],"mmmm")</f>
        <v>May</v>
      </c>
      <c r="R65" s="9" t="str">
        <f>IF(OR(Table16[[#This Row],[Status]]="Pending",Table16[[#This Row],[Status]]="Refunded"),"Review","OK")</f>
        <v>OK</v>
      </c>
      <c r="S65" s="6" t="str">
        <f>IF(Table16[[#This Row],[Net_Sales]]&gt;25000,"Hgh",IF(Table16[[#This Row],[Net_Sales]]&gt;10000,"Medium","Low"))</f>
        <v>Low</v>
      </c>
      <c r="T65" s="6" t="b">
        <f>AND(Table16[[#This Row],[Quantity]]&gt;=5,Table16[[#This Row],[Discount_Rate]]&gt;=10%)</f>
        <v>0</v>
      </c>
      <c r="U65" s="6" t="b">
        <f>OR(Table16[[#This Row],[Payment_Method]]="UPI",Table16[[#This Row],[Payment_Method]]="Cash")</f>
        <v>1</v>
      </c>
      <c r="V65" s="6" t="str">
        <f>IFERROR(Table16[[#This Row],[Net_Sales]]/Table16[[#This Row],[Quantity]],"ERROR")</f>
        <v>ERROR</v>
      </c>
      <c r="W65" s="6" t="str">
        <f>PROPER(TRIM(Table16[[#This Row],[Customer_Name]]))</f>
        <v>Lumen Shop</v>
      </c>
      <c r="X65" s="6" t="str">
        <f>PROPER(TRIM(Table16[[#This Row],[Region]]))</f>
        <v>East</v>
      </c>
      <c r="Y65" s="6">
        <f>YEAR(Table16[[#This Row],[Date]])</f>
        <v>2026</v>
      </c>
      <c r="Z65" s="6">
        <f>MONTH(Table16[[#This Row],[Date]])</f>
        <v>5</v>
      </c>
      <c r="AA65" s="6" t="str">
        <f>MID(Table16[[#This Row],[Transaction_ID]],4,7)</f>
        <v>1065</v>
      </c>
      <c r="AB65" s="6" t="str">
        <f>_xlfn.CONCAT(Table16[[#This Row],[Region]],"-",Table16[[#This Row],[Category]])</f>
        <v>East-Electronics</v>
      </c>
    </row>
    <row r="66" spans="1:28" hidden="1">
      <c r="A66" s="10" t="s">
        <v>231</v>
      </c>
      <c r="B66" s="11">
        <v>46151</v>
      </c>
      <c r="C66" s="12" t="s">
        <v>14</v>
      </c>
      <c r="D66" s="12" t="s">
        <v>15</v>
      </c>
      <c r="E66" s="12" t="s">
        <v>232</v>
      </c>
      <c r="F66" s="12" t="s">
        <v>33</v>
      </c>
      <c r="G66" s="12" t="s">
        <v>233</v>
      </c>
      <c r="H66" s="12">
        <v>5</v>
      </c>
      <c r="I66" s="13">
        <v>980</v>
      </c>
      <c r="J66" s="14">
        <v>0.05</v>
      </c>
      <c r="K66" s="12" t="s">
        <v>19</v>
      </c>
      <c r="L66" s="12" t="s">
        <v>20</v>
      </c>
      <c r="M66" s="12" t="s">
        <v>21</v>
      </c>
      <c r="N66" s="6">
        <f>Table16[[#This Row],[Quantity]]*Table16[[#This Row],[Unit_Price_INR]]</f>
        <v>4900</v>
      </c>
      <c r="O66" s="6">
        <f>Table16[[#This Row],[Gross sales]]*Table16[[#This Row],[Discount_Rate]]</f>
        <v>245</v>
      </c>
      <c r="P66" s="6">
        <f>Table16[[#This Row],[Gross sales]]-Table16[[#This Row],[Discount_Amount]]</f>
        <v>4655</v>
      </c>
      <c r="Q66" s="6" t="str">
        <f>TEXT(Table16[[#This Row],[Date]],"mmmm")</f>
        <v>May</v>
      </c>
      <c r="R66" s="9" t="str">
        <f>IF(OR(Table16[[#This Row],[Status]]="Pending",Table16[[#This Row],[Status]]="Refunded"),"Review","OK")</f>
        <v>OK</v>
      </c>
      <c r="S66" s="6" t="str">
        <f>IF(Table16[[#This Row],[Net_Sales]]&gt;25000,"Hgh",IF(Table16[[#This Row],[Net_Sales]]&gt;10000,"Medium","Low"))</f>
        <v>Low</v>
      </c>
      <c r="T66" s="6" t="b">
        <f>AND(Table16[[#This Row],[Quantity]]&gt;=5,Table16[[#This Row],[Discount_Rate]]&gt;=10%)</f>
        <v>0</v>
      </c>
      <c r="U66" s="6" t="b">
        <f>OR(Table16[[#This Row],[Payment_Method]]="UPI",Table16[[#This Row],[Payment_Method]]="Cash")</f>
        <v>1</v>
      </c>
      <c r="V66" s="6">
        <f>IFERROR(Table16[[#This Row],[Net_Sales]]/Table16[[#This Row],[Quantity]],"ERROR")</f>
        <v>931</v>
      </c>
      <c r="W66" s="6" t="str">
        <f>PROPER(TRIM(Table16[[#This Row],[Customer_Name]]))</f>
        <v>Mango Market</v>
      </c>
      <c r="X66" s="6" t="str">
        <f>PROPER(TRIM(Table16[[#This Row],[Region]]))</f>
        <v>North</v>
      </c>
      <c r="Y66" s="6">
        <f>YEAR(Table16[[#This Row],[Date]])</f>
        <v>2026</v>
      </c>
      <c r="Z66" s="6">
        <f>MONTH(Table16[[#This Row],[Date]])</f>
        <v>5</v>
      </c>
      <c r="AA66" s="6" t="str">
        <f>MID(Table16[[#This Row],[Transaction_ID]],4,7)</f>
        <v>1066</v>
      </c>
      <c r="AB66" s="6" t="str">
        <f>_xlfn.CONCAT(Table16[[#This Row],[Region]],"-",Table16[[#This Row],[Category]])</f>
        <v>North-Grocery</v>
      </c>
    </row>
    <row r="67" spans="1:28" hidden="1">
      <c r="A67" s="4" t="s">
        <v>234</v>
      </c>
      <c r="B67" s="5">
        <v>46152</v>
      </c>
      <c r="C67" s="6" t="s">
        <v>23</v>
      </c>
      <c r="D67" s="6" t="s">
        <v>24</v>
      </c>
      <c r="E67" s="6" t="s">
        <v>235</v>
      </c>
      <c r="F67" s="6" t="s">
        <v>47</v>
      </c>
      <c r="G67" s="6" t="s">
        <v>236</v>
      </c>
      <c r="H67" s="6">
        <v>3</v>
      </c>
      <c r="I67" s="7">
        <v>700</v>
      </c>
      <c r="J67" s="8">
        <v>0.1</v>
      </c>
      <c r="K67" s="6" t="s">
        <v>28</v>
      </c>
      <c r="L67" s="6" t="s">
        <v>20</v>
      </c>
      <c r="M67" s="6" t="s">
        <v>52</v>
      </c>
      <c r="N67" s="6">
        <f>Table16[[#This Row],[Quantity]]*Table16[[#This Row],[Unit_Price_INR]]</f>
        <v>2100</v>
      </c>
      <c r="O67" s="6">
        <f>Table16[[#This Row],[Gross sales]]*Table16[[#This Row],[Discount_Rate]]</f>
        <v>210</v>
      </c>
      <c r="P67" s="6">
        <f>Table16[[#This Row],[Gross sales]]-Table16[[#This Row],[Discount_Amount]]</f>
        <v>1890</v>
      </c>
      <c r="Q67" s="6" t="str">
        <f>TEXT(Table16[[#This Row],[Date]],"mmmm")</f>
        <v>May</v>
      </c>
      <c r="R67" s="9" t="str">
        <f>IF(OR(Table16[[#This Row],[Status]]="Pending",Table16[[#This Row],[Status]]="Refunded"),"Review","OK")</f>
        <v>OK</v>
      </c>
      <c r="S67" s="6" t="str">
        <f>IF(Table16[[#This Row],[Net_Sales]]&gt;25000,"Hgh",IF(Table16[[#This Row],[Net_Sales]]&gt;10000,"Medium","Low"))</f>
        <v>Low</v>
      </c>
      <c r="T67" s="6" t="b">
        <f>AND(Table16[[#This Row],[Quantity]]&gt;=5,Table16[[#This Row],[Discount_Rate]]&gt;=10%)</f>
        <v>0</v>
      </c>
      <c r="U67" s="6" t="b">
        <f>OR(Table16[[#This Row],[Payment_Method]]="UPI",Table16[[#This Row],[Payment_Method]]="Cash")</f>
        <v>0</v>
      </c>
      <c r="V67" s="6">
        <f>IFERROR(Table16[[#This Row],[Net_Sales]]/Table16[[#This Row],[Quantity]],"ERROR")</f>
        <v>630</v>
      </c>
      <c r="W67" s="6" t="str">
        <f>PROPER(TRIM(Table16[[#This Row],[Customer_Name]]))</f>
        <v>Nectar Store</v>
      </c>
      <c r="X67" s="6" t="str">
        <f>PROPER(TRIM(Table16[[#This Row],[Region]]))</f>
        <v>South</v>
      </c>
      <c r="Y67" s="6">
        <f>YEAR(Table16[[#This Row],[Date]])</f>
        <v>2026</v>
      </c>
      <c r="Z67" s="6">
        <f>MONTH(Table16[[#This Row],[Date]])</f>
        <v>5</v>
      </c>
      <c r="AA67" s="6" t="str">
        <f>MID(Table16[[#This Row],[Transaction_ID]],4,7)</f>
        <v>1067</v>
      </c>
      <c r="AB67" s="6" t="str">
        <f>_xlfn.CONCAT(Table16[[#This Row],[Region]],"-",Table16[[#This Row],[Category]])</f>
        <v>South-Fashion</v>
      </c>
    </row>
    <row r="68" spans="1:28" hidden="1">
      <c r="A68" s="10" t="s">
        <v>237</v>
      </c>
      <c r="B68" s="11">
        <v>46154</v>
      </c>
      <c r="C68" s="12" t="s">
        <v>31</v>
      </c>
      <c r="D68" s="12" t="s">
        <v>15</v>
      </c>
      <c r="E68" s="12" t="s">
        <v>238</v>
      </c>
      <c r="F68" s="12" t="s">
        <v>26</v>
      </c>
      <c r="G68" s="12" t="s">
        <v>239</v>
      </c>
      <c r="H68" s="12">
        <v>2</v>
      </c>
      <c r="I68" s="13">
        <v>2300</v>
      </c>
      <c r="J68" s="14">
        <v>0.05</v>
      </c>
      <c r="K68" s="12" t="s">
        <v>19</v>
      </c>
      <c r="L68" s="12" t="s">
        <v>20</v>
      </c>
      <c r="M68" s="12" t="s">
        <v>36</v>
      </c>
      <c r="N68" s="6">
        <f>Table16[[#This Row],[Quantity]]*Table16[[#This Row],[Unit_Price_INR]]</f>
        <v>4600</v>
      </c>
      <c r="O68" s="6">
        <f>Table16[[#This Row],[Gross sales]]*Table16[[#This Row],[Discount_Rate]]</f>
        <v>230</v>
      </c>
      <c r="P68" s="6">
        <f>Table16[[#This Row],[Gross sales]]-Table16[[#This Row],[Discount_Amount]]</f>
        <v>4370</v>
      </c>
      <c r="Q68" s="6" t="str">
        <f>TEXT(Table16[[#This Row],[Date]],"mmmm")</f>
        <v>May</v>
      </c>
      <c r="R68" s="9" t="str">
        <f>IF(OR(Table16[[#This Row],[Status]]="Pending",Table16[[#This Row],[Status]]="Refunded"),"Review","OK")</f>
        <v>OK</v>
      </c>
      <c r="S68" s="6" t="str">
        <f>IF(Table16[[#This Row],[Net_Sales]]&gt;25000,"Hgh",IF(Table16[[#This Row],[Net_Sales]]&gt;10000,"Medium","Low"))</f>
        <v>Low</v>
      </c>
      <c r="T68" s="6" t="b">
        <f>AND(Table16[[#This Row],[Quantity]]&gt;=5,Table16[[#This Row],[Discount_Rate]]&gt;=10%)</f>
        <v>0</v>
      </c>
      <c r="U68" s="6" t="b">
        <f>OR(Table16[[#This Row],[Payment_Method]]="UPI",Table16[[#This Row],[Payment_Method]]="Cash")</f>
        <v>1</v>
      </c>
      <c r="V68" s="6">
        <f>IFERROR(Table16[[#This Row],[Net_Sales]]/Table16[[#This Row],[Quantity]],"ERROR")</f>
        <v>2185</v>
      </c>
      <c r="W68" s="6" t="str">
        <f>PROPER(TRIM(Table16[[#This Row],[Customer_Name]]))</f>
        <v>Orchid Shop</v>
      </c>
      <c r="X68" s="6" t="str">
        <f>PROPER(TRIM(Table16[[#This Row],[Region]]))</f>
        <v>West</v>
      </c>
      <c r="Y68" s="6">
        <f>YEAR(Table16[[#This Row],[Date]])</f>
        <v>2026</v>
      </c>
      <c r="Z68" s="6">
        <f>MONTH(Table16[[#This Row],[Date]])</f>
        <v>5</v>
      </c>
      <c r="AA68" s="6" t="str">
        <f>MID(Table16[[#This Row],[Transaction_ID]],4,7)</f>
        <v>1068</v>
      </c>
      <c r="AB68" s="6" t="str">
        <f>_xlfn.CONCAT(Table16[[#This Row],[Region]],"-",Table16[[#This Row],[Category]])</f>
        <v>West-Home</v>
      </c>
    </row>
    <row r="69" spans="1:28">
      <c r="A69" s="4" t="s">
        <v>240</v>
      </c>
      <c r="B69" s="5">
        <v>46156</v>
      </c>
      <c r="C69" s="6" t="s">
        <v>38</v>
      </c>
      <c r="D69" s="6" t="s">
        <v>39</v>
      </c>
      <c r="E69" s="6" t="s">
        <v>241</v>
      </c>
      <c r="F69" s="6" t="s">
        <v>41</v>
      </c>
      <c r="G69" s="6" t="s">
        <v>242</v>
      </c>
      <c r="H69" s="6">
        <v>2</v>
      </c>
      <c r="I69" s="7">
        <v>5600</v>
      </c>
      <c r="J69" s="8">
        <v>7.0000000000000007E-2</v>
      </c>
      <c r="K69" s="6" t="s">
        <v>43</v>
      </c>
      <c r="L69" s="6" t="s">
        <v>20</v>
      </c>
      <c r="M69" s="6" t="s">
        <v>44</v>
      </c>
      <c r="N69" s="6">
        <f>Table16[[#This Row],[Quantity]]*Table16[[#This Row],[Unit_Price_INR]]</f>
        <v>11200</v>
      </c>
      <c r="O69" s="6">
        <f>Table16[[#This Row],[Gross sales]]*Table16[[#This Row],[Discount_Rate]]</f>
        <v>784.00000000000011</v>
      </c>
      <c r="P69" s="6">
        <f>Table16[[#This Row],[Gross sales]]-Table16[[#This Row],[Discount_Amount]]</f>
        <v>10416</v>
      </c>
      <c r="Q69" s="6" t="str">
        <f>TEXT(Table16[[#This Row],[Date]],"mmmm")</f>
        <v>May</v>
      </c>
      <c r="R69" s="9" t="str">
        <f>IF(OR(Table16[[#This Row],[Status]]="Pending",Table16[[#This Row],[Status]]="Refunded"),"Review","OK")</f>
        <v>OK</v>
      </c>
      <c r="S69" s="6" t="str">
        <f>IF(Table16[[#This Row],[Net_Sales]]&gt;25000,"Hgh",IF(Table16[[#This Row],[Net_Sales]]&gt;10000,"Medium","Low"))</f>
        <v>Medium</v>
      </c>
      <c r="T69" s="6" t="b">
        <f>AND(Table16[[#This Row],[Quantity]]&gt;=5,Table16[[#This Row],[Discount_Rate]]&gt;=10%)</f>
        <v>0</v>
      </c>
      <c r="U69" s="6" t="b">
        <f>OR(Table16[[#This Row],[Payment_Method]]="UPI",Table16[[#This Row],[Payment_Method]]="Cash")</f>
        <v>0</v>
      </c>
      <c r="V69" s="6">
        <f>IFERROR(Table16[[#This Row],[Net_Sales]]/Table16[[#This Row],[Quantity]],"ERROR")</f>
        <v>5208</v>
      </c>
      <c r="W69" s="6" t="str">
        <f>PROPER(TRIM(Table16[[#This Row],[Customer_Name]]))</f>
        <v>Pine Traders</v>
      </c>
      <c r="X69" s="6" t="str">
        <f>PROPER(TRIM(Table16[[#This Row],[Region]]))</f>
        <v>East</v>
      </c>
      <c r="Y69" s="6">
        <f>YEAR(Table16[[#This Row],[Date]])</f>
        <v>2026</v>
      </c>
      <c r="Z69" s="6">
        <f>MONTH(Table16[[#This Row],[Date]])</f>
        <v>5</v>
      </c>
      <c r="AA69" s="6" t="str">
        <f>MID(Table16[[#This Row],[Transaction_ID]],4,7)</f>
        <v>1069</v>
      </c>
      <c r="AB69" s="6" t="str">
        <f>_xlfn.CONCAT(Table16[[#This Row],[Region]],"-",Table16[[#This Row],[Category]])</f>
        <v>East-Office</v>
      </c>
    </row>
    <row r="70" spans="1:28">
      <c r="A70" s="10" t="s">
        <v>243</v>
      </c>
      <c r="B70" s="11">
        <v>46158</v>
      </c>
      <c r="C70" s="12" t="s">
        <v>14</v>
      </c>
      <c r="D70" s="12" t="s">
        <v>24</v>
      </c>
      <c r="E70" s="12" t="s">
        <v>244</v>
      </c>
      <c r="F70" s="12" t="s">
        <v>17</v>
      </c>
      <c r="G70" s="12" t="s">
        <v>245</v>
      </c>
      <c r="H70" s="12">
        <v>4</v>
      </c>
      <c r="I70" s="13">
        <v>3900</v>
      </c>
      <c r="J70" s="14">
        <v>0.06</v>
      </c>
      <c r="K70" s="12" t="s">
        <v>28</v>
      </c>
      <c r="L70" s="12" t="s">
        <v>20</v>
      </c>
      <c r="M70" s="12" t="s">
        <v>21</v>
      </c>
      <c r="N70" s="6">
        <f>Table16[[#This Row],[Quantity]]*Table16[[#This Row],[Unit_Price_INR]]</f>
        <v>15600</v>
      </c>
      <c r="O70" s="6">
        <f>Table16[[#This Row],[Gross sales]]*Table16[[#This Row],[Discount_Rate]]</f>
        <v>936</v>
      </c>
      <c r="P70" s="6">
        <f>Table16[[#This Row],[Gross sales]]-Table16[[#This Row],[Discount_Amount]]</f>
        <v>14664</v>
      </c>
      <c r="Q70" s="6" t="str">
        <f>TEXT(Table16[[#This Row],[Date]],"mmmm")</f>
        <v>May</v>
      </c>
      <c r="R70" s="9" t="str">
        <f>IF(OR(Table16[[#This Row],[Status]]="Pending",Table16[[#This Row],[Status]]="Refunded"),"Review","OK")</f>
        <v>OK</v>
      </c>
      <c r="S70" s="6" t="str">
        <f>IF(Table16[[#This Row],[Net_Sales]]&gt;25000,"Hgh",IF(Table16[[#This Row],[Net_Sales]]&gt;10000,"Medium","Low"))</f>
        <v>Medium</v>
      </c>
      <c r="T70" s="6" t="b">
        <f>AND(Table16[[#This Row],[Quantity]]&gt;=5,Table16[[#This Row],[Discount_Rate]]&gt;=10%)</f>
        <v>0</v>
      </c>
      <c r="U70" s="6" t="b">
        <f>OR(Table16[[#This Row],[Payment_Method]]="UPI",Table16[[#This Row],[Payment_Method]]="Cash")</f>
        <v>0</v>
      </c>
      <c r="V70" s="6">
        <f>IFERROR(Table16[[#This Row],[Net_Sales]]/Table16[[#This Row],[Quantity]],"ERROR")</f>
        <v>3666</v>
      </c>
      <c r="W70" s="6" t="str">
        <f>PROPER(TRIM(Table16[[#This Row],[Customer_Name]]))</f>
        <v>Quartz Retail</v>
      </c>
      <c r="X70" s="6" t="str">
        <f>PROPER(TRIM(Table16[[#This Row],[Region]]))</f>
        <v>North</v>
      </c>
      <c r="Y70" s="6">
        <f>YEAR(Table16[[#This Row],[Date]])</f>
        <v>2026</v>
      </c>
      <c r="Z70" s="6">
        <f>MONTH(Table16[[#This Row],[Date]])</f>
        <v>5</v>
      </c>
      <c r="AA70" s="6" t="str">
        <f>MID(Table16[[#This Row],[Transaction_ID]],4,7)</f>
        <v>1070</v>
      </c>
      <c r="AB70" s="6" t="str">
        <f>_xlfn.CONCAT(Table16[[#This Row],[Region]],"-",Table16[[#This Row],[Category]])</f>
        <v>North-Electronics</v>
      </c>
    </row>
    <row r="71" spans="1:28" hidden="1">
      <c r="A71" s="4" t="s">
        <v>246</v>
      </c>
      <c r="B71" s="5">
        <v>46160</v>
      </c>
      <c r="C71" s="6" t="s">
        <v>23</v>
      </c>
      <c r="D71" s="6" t="s">
        <v>15</v>
      </c>
      <c r="E71" s="6" t="s">
        <v>247</v>
      </c>
      <c r="F71" s="6" t="s">
        <v>33</v>
      </c>
      <c r="G71" s="6" t="s">
        <v>248</v>
      </c>
      <c r="H71" s="6">
        <v>9</v>
      </c>
      <c r="I71" s="7">
        <v>220</v>
      </c>
      <c r="J71" s="8">
        <v>0</v>
      </c>
      <c r="K71" s="6" t="s">
        <v>35</v>
      </c>
      <c r="L71" s="6" t="s">
        <v>20</v>
      </c>
      <c r="M71" s="6" t="s">
        <v>52</v>
      </c>
      <c r="N71" s="6">
        <f>Table16[[#This Row],[Quantity]]*Table16[[#This Row],[Unit_Price_INR]]</f>
        <v>1980</v>
      </c>
      <c r="O71" s="6">
        <f>Table16[[#This Row],[Gross sales]]*Table16[[#This Row],[Discount_Rate]]</f>
        <v>0</v>
      </c>
      <c r="P71" s="6">
        <f>Table16[[#This Row],[Gross sales]]-Table16[[#This Row],[Discount_Amount]]</f>
        <v>1980</v>
      </c>
      <c r="Q71" s="6" t="str">
        <f>TEXT(Table16[[#This Row],[Date]],"mmmm")</f>
        <v>May</v>
      </c>
      <c r="R71" s="9" t="str">
        <f>IF(OR(Table16[[#This Row],[Status]]="Pending",Table16[[#This Row],[Status]]="Refunded"),"Review","OK")</f>
        <v>OK</v>
      </c>
      <c r="S71" s="6" t="str">
        <f>IF(Table16[[#This Row],[Net_Sales]]&gt;25000,"Hgh",IF(Table16[[#This Row],[Net_Sales]]&gt;10000,"Medium","Low"))</f>
        <v>Low</v>
      </c>
      <c r="T71" s="6" t="b">
        <f>AND(Table16[[#This Row],[Quantity]]&gt;=5,Table16[[#This Row],[Discount_Rate]]&gt;=10%)</f>
        <v>0</v>
      </c>
      <c r="U71" s="6" t="b">
        <f>OR(Table16[[#This Row],[Payment_Method]]="UPI",Table16[[#This Row],[Payment_Method]]="Cash")</f>
        <v>1</v>
      </c>
      <c r="V71" s="6">
        <f>IFERROR(Table16[[#This Row],[Net_Sales]]/Table16[[#This Row],[Quantity]],"ERROR")</f>
        <v>220</v>
      </c>
      <c r="W71" s="6" t="str">
        <f>PROPER(TRIM(Table16[[#This Row],[Customer_Name]]))</f>
        <v>Rosewood Mart</v>
      </c>
      <c r="X71" s="6" t="str">
        <f>PROPER(TRIM(Table16[[#This Row],[Region]]))</f>
        <v>South</v>
      </c>
      <c r="Y71" s="6">
        <f>YEAR(Table16[[#This Row],[Date]])</f>
        <v>2026</v>
      </c>
      <c r="Z71" s="6">
        <f>MONTH(Table16[[#This Row],[Date]])</f>
        <v>5</v>
      </c>
      <c r="AA71" s="6" t="str">
        <f>MID(Table16[[#This Row],[Transaction_ID]],4,7)</f>
        <v>1071</v>
      </c>
      <c r="AB71" s="6" t="str">
        <f>_xlfn.CONCAT(Table16[[#This Row],[Region]],"-",Table16[[#This Row],[Category]])</f>
        <v>South-Grocery</v>
      </c>
    </row>
    <row r="72" spans="1:28" hidden="1">
      <c r="A72" s="10" t="s">
        <v>249</v>
      </c>
      <c r="B72" s="11">
        <v>46162</v>
      </c>
      <c r="C72" s="12" t="s">
        <v>31</v>
      </c>
      <c r="D72" s="12" t="s">
        <v>24</v>
      </c>
      <c r="E72" s="12" t="s">
        <v>250</v>
      </c>
      <c r="F72" s="12" t="s">
        <v>47</v>
      </c>
      <c r="G72" s="12" t="s">
        <v>251</v>
      </c>
      <c r="H72" s="12">
        <v>5</v>
      </c>
      <c r="I72" s="13">
        <v>1150</v>
      </c>
      <c r="J72" s="14">
        <v>0.08</v>
      </c>
      <c r="K72" s="12" t="s">
        <v>28</v>
      </c>
      <c r="L72" s="12" t="s">
        <v>20</v>
      </c>
      <c r="M72" s="12" t="s">
        <v>36</v>
      </c>
      <c r="N72" s="6">
        <f>Table16[[#This Row],[Quantity]]*Table16[[#This Row],[Unit_Price_INR]]</f>
        <v>5750</v>
      </c>
      <c r="O72" s="6">
        <f>Table16[[#This Row],[Gross sales]]*Table16[[#This Row],[Discount_Rate]]</f>
        <v>460</v>
      </c>
      <c r="P72" s="6">
        <f>Table16[[#This Row],[Gross sales]]-Table16[[#This Row],[Discount_Amount]]</f>
        <v>5290</v>
      </c>
      <c r="Q72" s="6" t="str">
        <f>TEXT(Table16[[#This Row],[Date]],"mmmm")</f>
        <v>May</v>
      </c>
      <c r="R72" s="9" t="str">
        <f>IF(OR(Table16[[#This Row],[Status]]="Pending",Table16[[#This Row],[Status]]="Refunded"),"Review","OK")</f>
        <v>OK</v>
      </c>
      <c r="S72" s="6" t="str">
        <f>IF(Table16[[#This Row],[Net_Sales]]&gt;25000,"Hgh",IF(Table16[[#This Row],[Net_Sales]]&gt;10000,"Medium","Low"))</f>
        <v>Low</v>
      </c>
      <c r="T72" s="6" t="b">
        <f>AND(Table16[[#This Row],[Quantity]]&gt;=5,Table16[[#This Row],[Discount_Rate]]&gt;=10%)</f>
        <v>0</v>
      </c>
      <c r="U72" s="6" t="b">
        <f>OR(Table16[[#This Row],[Payment_Method]]="UPI",Table16[[#This Row],[Payment_Method]]="Cash")</f>
        <v>0</v>
      </c>
      <c r="V72" s="6">
        <f>IFERROR(Table16[[#This Row],[Net_Sales]]/Table16[[#This Row],[Quantity]],"ERROR")</f>
        <v>1058</v>
      </c>
      <c r="W72" s="6" t="str">
        <f>PROPER(TRIM(Table16[[#This Row],[Customer_Name]]))</f>
        <v>Stonebridge Shop</v>
      </c>
      <c r="X72" s="6" t="str">
        <f>PROPER(TRIM(Table16[[#This Row],[Region]]))</f>
        <v>West</v>
      </c>
      <c r="Y72" s="6">
        <f>YEAR(Table16[[#This Row],[Date]])</f>
        <v>2026</v>
      </c>
      <c r="Z72" s="6">
        <f>MONTH(Table16[[#This Row],[Date]])</f>
        <v>5</v>
      </c>
      <c r="AA72" s="6" t="str">
        <f>MID(Table16[[#This Row],[Transaction_ID]],4,7)</f>
        <v>1072</v>
      </c>
      <c r="AB72" s="6" t="str">
        <f>_xlfn.CONCAT(Table16[[#This Row],[Region]],"-",Table16[[#This Row],[Category]])</f>
        <v>West-Fashion</v>
      </c>
    </row>
    <row r="73" spans="1:28" hidden="1">
      <c r="A73" s="4" t="s">
        <v>252</v>
      </c>
      <c r="B73" s="5">
        <v>46164</v>
      </c>
      <c r="C73" s="6" t="s">
        <v>38</v>
      </c>
      <c r="D73" s="6" t="s">
        <v>15</v>
      </c>
      <c r="E73" s="6" t="s">
        <v>253</v>
      </c>
      <c r="F73" s="6" t="s">
        <v>26</v>
      </c>
      <c r="G73" s="6" t="s">
        <v>254</v>
      </c>
      <c r="H73" s="6">
        <v>6</v>
      </c>
      <c r="I73" s="7">
        <v>890</v>
      </c>
      <c r="J73" s="8">
        <v>0.05</v>
      </c>
      <c r="K73" s="6" t="s">
        <v>19</v>
      </c>
      <c r="L73" s="6" t="s">
        <v>20</v>
      </c>
      <c r="M73" s="6" t="s">
        <v>44</v>
      </c>
      <c r="N73" s="6">
        <f>Table16[[#This Row],[Quantity]]*Table16[[#This Row],[Unit_Price_INR]]</f>
        <v>5340</v>
      </c>
      <c r="O73" s="6">
        <f>Table16[[#This Row],[Gross sales]]*Table16[[#This Row],[Discount_Rate]]</f>
        <v>267</v>
      </c>
      <c r="P73" s="6">
        <f>Table16[[#This Row],[Gross sales]]-Table16[[#This Row],[Discount_Amount]]</f>
        <v>5073</v>
      </c>
      <c r="Q73" s="6" t="str">
        <f>TEXT(Table16[[#This Row],[Date]],"mmmm")</f>
        <v>May</v>
      </c>
      <c r="R73" s="9" t="str">
        <f>IF(OR(Table16[[#This Row],[Status]]="Pending",Table16[[#This Row],[Status]]="Refunded"),"Review","OK")</f>
        <v>OK</v>
      </c>
      <c r="S73" s="6" t="str">
        <f>IF(Table16[[#This Row],[Net_Sales]]&gt;25000,"Hgh",IF(Table16[[#This Row],[Net_Sales]]&gt;10000,"Medium","Low"))</f>
        <v>Low</v>
      </c>
      <c r="T73" s="6" t="b">
        <f>AND(Table16[[#This Row],[Quantity]]&gt;=5,Table16[[#This Row],[Discount_Rate]]&gt;=10%)</f>
        <v>0</v>
      </c>
      <c r="U73" s="6" t="b">
        <f>OR(Table16[[#This Row],[Payment_Method]]="UPI",Table16[[#This Row],[Payment_Method]]="Cash")</f>
        <v>1</v>
      </c>
      <c r="V73" s="6">
        <f>IFERROR(Table16[[#This Row],[Net_Sales]]/Table16[[#This Row],[Quantity]],"ERROR")</f>
        <v>845.5</v>
      </c>
      <c r="W73" s="6" t="str">
        <f>PROPER(TRIM(Table16[[#This Row],[Customer_Name]]))</f>
        <v>Timber Store</v>
      </c>
      <c r="X73" s="6" t="str">
        <f>PROPER(TRIM(Table16[[#This Row],[Region]]))</f>
        <v>East</v>
      </c>
      <c r="Y73" s="6">
        <f>YEAR(Table16[[#This Row],[Date]])</f>
        <v>2026</v>
      </c>
      <c r="Z73" s="6">
        <f>MONTH(Table16[[#This Row],[Date]])</f>
        <v>5</v>
      </c>
      <c r="AA73" s="6" t="str">
        <f>MID(Table16[[#This Row],[Transaction_ID]],4,7)</f>
        <v>1073</v>
      </c>
      <c r="AB73" s="6" t="str">
        <f>_xlfn.CONCAT(Table16[[#This Row],[Region]],"-",Table16[[#This Row],[Category]])</f>
        <v>East-Home</v>
      </c>
    </row>
    <row r="74" spans="1:28">
      <c r="A74" s="10" t="s">
        <v>255</v>
      </c>
      <c r="B74" s="11">
        <v>46166</v>
      </c>
      <c r="C74" s="12" t="s">
        <v>14</v>
      </c>
      <c r="D74" s="12" t="s">
        <v>39</v>
      </c>
      <c r="E74" s="12" t="s">
        <v>256</v>
      </c>
      <c r="F74" s="12" t="s">
        <v>17</v>
      </c>
      <c r="G74" s="12" t="s">
        <v>257</v>
      </c>
      <c r="H74" s="12">
        <v>2</v>
      </c>
      <c r="I74" s="13">
        <v>12500</v>
      </c>
      <c r="J74" s="14">
        <v>0.1</v>
      </c>
      <c r="K74" s="12" t="s">
        <v>43</v>
      </c>
      <c r="L74" s="12" t="s">
        <v>20</v>
      </c>
      <c r="M74" s="12" t="s">
        <v>21</v>
      </c>
      <c r="N74" s="6">
        <f>Table16[[#This Row],[Quantity]]*Table16[[#This Row],[Unit_Price_INR]]</f>
        <v>25000</v>
      </c>
      <c r="O74" s="6">
        <f>Table16[[#This Row],[Gross sales]]*Table16[[#This Row],[Discount_Rate]]</f>
        <v>2500</v>
      </c>
      <c r="P74" s="6">
        <f>Table16[[#This Row],[Gross sales]]-Table16[[#This Row],[Discount_Amount]]</f>
        <v>22500</v>
      </c>
      <c r="Q74" s="6" t="str">
        <f>TEXT(Table16[[#This Row],[Date]],"mmmm")</f>
        <v>May</v>
      </c>
      <c r="R74" s="9" t="str">
        <f>IF(OR(Table16[[#This Row],[Status]]="Pending",Table16[[#This Row],[Status]]="Refunded"),"Review","OK")</f>
        <v>OK</v>
      </c>
      <c r="S74" s="6" t="str">
        <f>IF(Table16[[#This Row],[Net_Sales]]&gt;25000,"Hgh",IF(Table16[[#This Row],[Net_Sales]]&gt;10000,"Medium","Low"))</f>
        <v>Medium</v>
      </c>
      <c r="T74" s="6" t="b">
        <f>AND(Table16[[#This Row],[Quantity]]&gt;=5,Table16[[#This Row],[Discount_Rate]]&gt;=10%)</f>
        <v>0</v>
      </c>
      <c r="U74" s="6" t="b">
        <f>OR(Table16[[#This Row],[Payment_Method]]="UPI",Table16[[#This Row],[Payment_Method]]="Cash")</f>
        <v>0</v>
      </c>
      <c r="V74" s="6">
        <f>IFERROR(Table16[[#This Row],[Net_Sales]]/Table16[[#This Row],[Quantity]],"ERROR")</f>
        <v>11250</v>
      </c>
      <c r="W74" s="6" t="str">
        <f>PROPER(TRIM(Table16[[#This Row],[Customer_Name]]))</f>
        <v>Umber Distributors</v>
      </c>
      <c r="X74" s="6" t="str">
        <f>PROPER(TRIM(Table16[[#This Row],[Region]]))</f>
        <v>North</v>
      </c>
      <c r="Y74" s="6">
        <f>YEAR(Table16[[#This Row],[Date]])</f>
        <v>2026</v>
      </c>
      <c r="Z74" s="6">
        <f>MONTH(Table16[[#This Row],[Date]])</f>
        <v>5</v>
      </c>
      <c r="AA74" s="6" t="str">
        <f>MID(Table16[[#This Row],[Transaction_ID]],4,7)</f>
        <v>1074</v>
      </c>
      <c r="AB74" s="6" t="str">
        <f>_xlfn.CONCAT(Table16[[#This Row],[Region]],"-",Table16[[#This Row],[Category]])</f>
        <v>North-Electronics</v>
      </c>
    </row>
    <row r="75" spans="1:28" hidden="1">
      <c r="A75" s="4" t="s">
        <v>258</v>
      </c>
      <c r="B75" s="5">
        <v>46168</v>
      </c>
      <c r="C75" s="6" t="s">
        <v>23</v>
      </c>
      <c r="D75" s="6" t="s">
        <v>24</v>
      </c>
      <c r="E75" s="6" t="s">
        <v>259</v>
      </c>
      <c r="F75" s="6" t="s">
        <v>41</v>
      </c>
      <c r="G75" s="6" t="s">
        <v>260</v>
      </c>
      <c r="H75" s="6">
        <v>8</v>
      </c>
      <c r="I75" s="7">
        <v>950</v>
      </c>
      <c r="J75" s="8">
        <v>0.05</v>
      </c>
      <c r="K75" s="6" t="s">
        <v>28</v>
      </c>
      <c r="L75" s="6" t="s">
        <v>20</v>
      </c>
      <c r="M75" s="6" t="s">
        <v>52</v>
      </c>
      <c r="N75" s="6">
        <f>Table16[[#This Row],[Quantity]]*Table16[[#This Row],[Unit_Price_INR]]</f>
        <v>7600</v>
      </c>
      <c r="O75" s="6">
        <f>Table16[[#This Row],[Gross sales]]*Table16[[#This Row],[Discount_Rate]]</f>
        <v>380</v>
      </c>
      <c r="P75" s="6">
        <f>Table16[[#This Row],[Gross sales]]-Table16[[#This Row],[Discount_Amount]]</f>
        <v>7220</v>
      </c>
      <c r="Q75" s="6" t="str">
        <f>TEXT(Table16[[#This Row],[Date]],"mmmm")</f>
        <v>May</v>
      </c>
      <c r="R75" s="9" t="str">
        <f>IF(OR(Table16[[#This Row],[Status]]="Pending",Table16[[#This Row],[Status]]="Refunded"),"Review","OK")</f>
        <v>OK</v>
      </c>
      <c r="S75" s="6" t="str">
        <f>IF(Table16[[#This Row],[Net_Sales]]&gt;25000,"Hgh",IF(Table16[[#This Row],[Net_Sales]]&gt;10000,"Medium","Low"))</f>
        <v>Low</v>
      </c>
      <c r="T75" s="6" t="b">
        <f>AND(Table16[[#This Row],[Quantity]]&gt;=5,Table16[[#This Row],[Discount_Rate]]&gt;=10%)</f>
        <v>0</v>
      </c>
      <c r="U75" s="6" t="b">
        <f>OR(Table16[[#This Row],[Payment_Method]]="UPI",Table16[[#This Row],[Payment_Method]]="Cash")</f>
        <v>0</v>
      </c>
      <c r="V75" s="6">
        <f>IFERROR(Table16[[#This Row],[Net_Sales]]/Table16[[#This Row],[Quantity]],"ERROR")</f>
        <v>902.5</v>
      </c>
      <c r="W75" s="6" t="str">
        <f>PROPER(TRIM(Table16[[#This Row],[Customer_Name]]))</f>
        <v>Vale Shop</v>
      </c>
      <c r="X75" s="6" t="str">
        <f>PROPER(TRIM(Table16[[#This Row],[Region]]))</f>
        <v>South</v>
      </c>
      <c r="Y75" s="6">
        <f>YEAR(Table16[[#This Row],[Date]])</f>
        <v>2026</v>
      </c>
      <c r="Z75" s="6">
        <f>MONTH(Table16[[#This Row],[Date]])</f>
        <v>5</v>
      </c>
      <c r="AA75" s="6" t="str">
        <f>MID(Table16[[#This Row],[Transaction_ID]],4,7)</f>
        <v>1075</v>
      </c>
      <c r="AB75" s="6" t="str">
        <f>_xlfn.CONCAT(Table16[[#This Row],[Region]],"-",Table16[[#This Row],[Category]])</f>
        <v>South-Office</v>
      </c>
    </row>
    <row r="76" spans="1:28" hidden="1">
      <c r="A76" s="10" t="s">
        <v>261</v>
      </c>
      <c r="B76" s="11">
        <v>46170</v>
      </c>
      <c r="C76" s="12" t="s">
        <v>31</v>
      </c>
      <c r="D76" s="12" t="s">
        <v>15</v>
      </c>
      <c r="E76" s="12" t="s">
        <v>262</v>
      </c>
      <c r="F76" s="12" t="s">
        <v>33</v>
      </c>
      <c r="G76" s="12" t="s">
        <v>263</v>
      </c>
      <c r="H76" s="12">
        <v>11</v>
      </c>
      <c r="I76" s="13">
        <v>310</v>
      </c>
      <c r="J76" s="14">
        <v>0.02</v>
      </c>
      <c r="K76" s="12" t="s">
        <v>19</v>
      </c>
      <c r="L76" s="12" t="s">
        <v>20</v>
      </c>
      <c r="M76" s="12" t="s">
        <v>36</v>
      </c>
      <c r="N76" s="6">
        <f>Table16[[#This Row],[Quantity]]*Table16[[#This Row],[Unit_Price_INR]]</f>
        <v>3410</v>
      </c>
      <c r="O76" s="6">
        <f>Table16[[#This Row],[Gross sales]]*Table16[[#This Row],[Discount_Rate]]</f>
        <v>68.2</v>
      </c>
      <c r="P76" s="6">
        <f>Table16[[#This Row],[Gross sales]]-Table16[[#This Row],[Discount_Amount]]</f>
        <v>3341.8</v>
      </c>
      <c r="Q76" s="6" t="str">
        <f>TEXT(Table16[[#This Row],[Date]],"mmmm")</f>
        <v>May</v>
      </c>
      <c r="R76" s="9" t="str">
        <f>IF(OR(Table16[[#This Row],[Status]]="Pending",Table16[[#This Row],[Status]]="Refunded"),"Review","OK")</f>
        <v>OK</v>
      </c>
      <c r="S76" s="6" t="str">
        <f>IF(Table16[[#This Row],[Net_Sales]]&gt;25000,"Hgh",IF(Table16[[#This Row],[Net_Sales]]&gt;10000,"Medium","Low"))</f>
        <v>Low</v>
      </c>
      <c r="T76" s="6" t="b">
        <f>AND(Table16[[#This Row],[Quantity]]&gt;=5,Table16[[#This Row],[Discount_Rate]]&gt;=10%)</f>
        <v>0</v>
      </c>
      <c r="U76" s="6" t="b">
        <f>OR(Table16[[#This Row],[Payment_Method]]="UPI",Table16[[#This Row],[Payment_Method]]="Cash")</f>
        <v>1</v>
      </c>
      <c r="V76" s="6">
        <f>IFERROR(Table16[[#This Row],[Net_Sales]]/Table16[[#This Row],[Quantity]],"ERROR")</f>
        <v>303.8</v>
      </c>
      <c r="W76" s="6" t="str">
        <f>PROPER(TRIM(Table16[[#This Row],[Customer_Name]]))</f>
        <v>Willow Retail</v>
      </c>
      <c r="X76" s="6" t="str">
        <f>PROPER(TRIM(Table16[[#This Row],[Region]]))</f>
        <v>West</v>
      </c>
      <c r="Y76" s="6">
        <f>YEAR(Table16[[#This Row],[Date]])</f>
        <v>2026</v>
      </c>
      <c r="Z76" s="6">
        <f>MONTH(Table16[[#This Row],[Date]])</f>
        <v>5</v>
      </c>
      <c r="AA76" s="6" t="str">
        <f>MID(Table16[[#This Row],[Transaction_ID]],4,7)</f>
        <v>1076</v>
      </c>
      <c r="AB76" s="6" t="str">
        <f>_xlfn.CONCAT(Table16[[#This Row],[Region]],"-",Table16[[#This Row],[Category]])</f>
        <v>West-Grocery</v>
      </c>
    </row>
    <row r="77" spans="1:28" hidden="1">
      <c r="A77" s="4" t="s">
        <v>264</v>
      </c>
      <c r="B77" s="5">
        <v>46172</v>
      </c>
      <c r="C77" s="6" t="s">
        <v>38</v>
      </c>
      <c r="D77" s="6" t="s">
        <v>39</v>
      </c>
      <c r="E77" s="6" t="s">
        <v>265</v>
      </c>
      <c r="F77" s="6" t="s">
        <v>26</v>
      </c>
      <c r="G77" s="6" t="s">
        <v>266</v>
      </c>
      <c r="H77" s="6">
        <v>2</v>
      </c>
      <c r="I77" s="7">
        <v>4800</v>
      </c>
      <c r="J77" s="8">
        <v>0.06</v>
      </c>
      <c r="K77" s="6" t="s">
        <v>43</v>
      </c>
      <c r="L77" s="6" t="s">
        <v>20</v>
      </c>
      <c r="M77" s="6" t="s">
        <v>44</v>
      </c>
      <c r="N77" s="6">
        <f>Table16[[#This Row],[Quantity]]*Table16[[#This Row],[Unit_Price_INR]]</f>
        <v>9600</v>
      </c>
      <c r="O77" s="6">
        <f>Table16[[#This Row],[Gross sales]]*Table16[[#This Row],[Discount_Rate]]</f>
        <v>576</v>
      </c>
      <c r="P77" s="6">
        <f>Table16[[#This Row],[Gross sales]]-Table16[[#This Row],[Discount_Amount]]</f>
        <v>9024</v>
      </c>
      <c r="Q77" s="6" t="str">
        <f>TEXT(Table16[[#This Row],[Date]],"mmmm")</f>
        <v>May</v>
      </c>
      <c r="R77" s="9" t="str">
        <f>IF(OR(Table16[[#This Row],[Status]]="Pending",Table16[[#This Row],[Status]]="Refunded"),"Review","OK")</f>
        <v>OK</v>
      </c>
      <c r="S77" s="6" t="str">
        <f>IF(Table16[[#This Row],[Net_Sales]]&gt;25000,"Hgh",IF(Table16[[#This Row],[Net_Sales]]&gt;10000,"Medium","Low"))</f>
        <v>Low</v>
      </c>
      <c r="T77" s="6" t="b">
        <f>AND(Table16[[#This Row],[Quantity]]&gt;=5,Table16[[#This Row],[Discount_Rate]]&gt;=10%)</f>
        <v>0</v>
      </c>
      <c r="U77" s="6" t="b">
        <f>OR(Table16[[#This Row],[Payment_Method]]="UPI",Table16[[#This Row],[Payment_Method]]="Cash")</f>
        <v>0</v>
      </c>
      <c r="V77" s="6">
        <f>IFERROR(Table16[[#This Row],[Net_Sales]]/Table16[[#This Row],[Quantity]],"ERROR")</f>
        <v>4512</v>
      </c>
      <c r="W77" s="6" t="str">
        <f>PROPER(TRIM(Table16[[#This Row],[Customer_Name]]))</f>
        <v>Xylem Traders</v>
      </c>
      <c r="X77" s="6" t="str">
        <f>PROPER(TRIM(Table16[[#This Row],[Region]]))</f>
        <v>East</v>
      </c>
      <c r="Y77" s="6">
        <f>YEAR(Table16[[#This Row],[Date]])</f>
        <v>2026</v>
      </c>
      <c r="Z77" s="6">
        <f>MONTH(Table16[[#This Row],[Date]])</f>
        <v>5</v>
      </c>
      <c r="AA77" s="6" t="str">
        <f>MID(Table16[[#This Row],[Transaction_ID]],4,7)</f>
        <v>1077</v>
      </c>
      <c r="AB77" s="6" t="str">
        <f>_xlfn.CONCAT(Table16[[#This Row],[Region]],"-",Table16[[#This Row],[Category]])</f>
        <v>East-Home</v>
      </c>
    </row>
  </sheetData>
  <conditionalFormatting sqref="A2:A77">
    <cfRule type="duplicateValues" dxfId="4" priority="3"/>
  </conditionalFormatting>
  <conditionalFormatting sqref="L1:L1048576">
    <cfRule type="containsText" dxfId="3" priority="1" operator="containsText" text="Pending">
      <formula>NOT(ISERROR(SEARCH("Pending",L1)))</formula>
    </cfRule>
  </conditionalFormatting>
  <conditionalFormatting sqref="P2:P77">
    <cfRule type="cellIs" dxfId="2" priority="2" operator="greaterThan">
      <formula>25000</formula>
    </cfRule>
  </conditionalFormatting>
  <dataValidations count="1">
    <dataValidation type="list" allowBlank="1" showInputMessage="1" showErrorMessage="1" error="Error" sqref="L1:L77 L79:L1048576" xr:uid="{AAF3AEC4-30D3-4325-B344-A83F38BE94D0}">
      <formula1>"Completed,Pending,Refunded,Cancelled"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7D5C-5653-4D80-9B7F-92200E5EE09F}">
  <dimension ref="A1:AB77"/>
  <sheetViews>
    <sheetView topLeftCell="A41" workbookViewId="0">
      <selection activeCell="S3" sqref="S3"/>
    </sheetView>
  </sheetViews>
  <sheetFormatPr defaultRowHeight="15"/>
  <cols>
    <col min="1" max="1" width="16.42578125" bestFit="1" customWidth="1"/>
    <col min="2" max="2" width="12.140625" bestFit="1" customWidth="1"/>
    <col min="3" max="3" width="12.28515625" customWidth="1"/>
    <col min="4" max="4" width="16" customWidth="1"/>
    <col min="5" max="5" width="19.28515625" customWidth="1"/>
    <col min="6" max="6" width="14" customWidth="1"/>
    <col min="7" max="7" width="19.28515625" customWidth="1"/>
    <col min="8" max="8" width="10.85546875" customWidth="1"/>
    <col min="9" max="9" width="16.5703125" customWidth="1"/>
    <col min="10" max="10" width="15.85546875" customWidth="1"/>
    <col min="11" max="11" width="19.140625" customWidth="1"/>
    <col min="12" max="12" width="12.28515625" customWidth="1"/>
    <col min="13" max="13" width="15" customWidth="1"/>
    <col min="14" max="16" width="12.5703125"/>
    <col min="17" max="17" width="21.42578125" customWidth="1"/>
    <col min="18" max="18" width="19.42578125" customWidth="1"/>
    <col min="19" max="19" width="22.140625" customWidth="1"/>
    <col min="20" max="22" width="12.5703125"/>
    <col min="23" max="24" width="24" customWidth="1"/>
    <col min="25" max="27" width="12.5703125"/>
    <col min="28" max="28" width="19.140625" customWidth="1"/>
  </cols>
  <sheetData>
    <row r="1" spans="1:28" ht="30">
      <c r="A1" s="1" t="s">
        <v>0</v>
      </c>
      <c r="B1" s="2" t="s">
        <v>1</v>
      </c>
      <c r="C1" s="2" t="s">
        <v>2</v>
      </c>
      <c r="D1" s="2" t="s">
        <v>3</v>
      </c>
      <c r="E1" s="2" t="s">
        <v>4</v>
      </c>
      <c r="F1" s="2" t="s">
        <v>5</v>
      </c>
      <c r="G1" s="2" t="s">
        <v>6</v>
      </c>
      <c r="H1" s="2" t="s">
        <v>7</v>
      </c>
      <c r="I1" s="2" t="s">
        <v>8</v>
      </c>
      <c r="J1" s="2" t="s">
        <v>9</v>
      </c>
      <c r="K1" s="2" t="s">
        <v>10</v>
      </c>
      <c r="L1" s="2" t="s">
        <v>11</v>
      </c>
      <c r="M1" s="2" t="s">
        <v>12</v>
      </c>
      <c r="N1" s="2" t="s">
        <v>278</v>
      </c>
      <c r="O1" s="2" t="s">
        <v>279</v>
      </c>
      <c r="P1" s="2" t="s">
        <v>280</v>
      </c>
      <c r="Q1" s="2" t="s">
        <v>281</v>
      </c>
      <c r="R1" s="3" t="s">
        <v>286</v>
      </c>
      <c r="S1" s="2" t="s">
        <v>287</v>
      </c>
      <c r="T1" s="2" t="s">
        <v>288</v>
      </c>
      <c r="U1" s="2" t="s">
        <v>289</v>
      </c>
      <c r="V1" s="2" t="s">
        <v>290</v>
      </c>
      <c r="W1" s="2" t="s">
        <v>276</v>
      </c>
      <c r="X1" s="2" t="s">
        <v>302</v>
      </c>
      <c r="Y1" s="2" t="s">
        <v>303</v>
      </c>
      <c r="Z1" s="2" t="s">
        <v>304</v>
      </c>
      <c r="AA1" s="2" t="s">
        <v>282</v>
      </c>
      <c r="AB1" s="2" t="s">
        <v>305</v>
      </c>
    </row>
    <row r="2" spans="1:28">
      <c r="A2" s="4" t="s">
        <v>79</v>
      </c>
      <c r="B2" s="5">
        <v>46045</v>
      </c>
      <c r="C2" s="6" t="s">
        <v>31</v>
      </c>
      <c r="D2" s="6" t="s">
        <v>39</v>
      </c>
      <c r="E2" s="6" t="s">
        <v>80</v>
      </c>
      <c r="F2" s="6" t="s">
        <v>17</v>
      </c>
      <c r="G2" s="6" t="s">
        <v>81</v>
      </c>
      <c r="H2" s="6">
        <v>5</v>
      </c>
      <c r="I2" s="7">
        <v>28500</v>
      </c>
      <c r="J2" s="8">
        <v>0.06</v>
      </c>
      <c r="K2" s="6" t="s">
        <v>43</v>
      </c>
      <c r="L2" s="6" t="s">
        <v>20</v>
      </c>
      <c r="M2" s="6" t="s">
        <v>36</v>
      </c>
      <c r="N2" s="6">
        <f>Table14[[#This Row],[Quantity]]*Table14[[#This Row],[Unit_Price_INR]]</f>
        <v>142500</v>
      </c>
      <c r="O2" s="6">
        <f>Table14[[#This Row],[Gross sales]]*Table14[[#This Row],[Discount_Rate]]</f>
        <v>8550</v>
      </c>
      <c r="P2" s="6">
        <f>Table14[[#This Row],[Gross sales]]-Table14[[#This Row],[Discount_Amount]]</f>
        <v>133950</v>
      </c>
      <c r="Q2" s="6" t="str">
        <f>TEXT(Table14[[#This Row],[Date]],"mmmm")</f>
        <v>January</v>
      </c>
      <c r="R2" s="9" t="str">
        <f>IF(OR(Table14[[#This Row],[Status]]="Pending",Table14[[#This Row],[Status]]="Refunded"),"Review","OK")</f>
        <v>OK</v>
      </c>
      <c r="S2" s="16" t="str">
        <f>IF(Table14[[#This Row],[Net_Sales]]&gt;25000,"High",IF(Table14[[#This Row],[Net_Sales]]&gt;10000,"Medium","Low"))</f>
        <v>High</v>
      </c>
      <c r="T2" s="16" t="b">
        <f>AND(Table14[[#This Row],[Quantity]]&gt;=5,Table14[[#This Row],[Discount_Rate]]&gt;=10%)</f>
        <v>0</v>
      </c>
      <c r="U2" s="16" t="b">
        <f>OR(Table14[[#This Row],[Payment_Method]]="UPI",Table14[[#This Row],[Payment_Method]]="Cash")</f>
        <v>0</v>
      </c>
      <c r="V2" s="16">
        <f>IFERROR(Table14[[#This Row],[Net_Sales]]/Table14[[#This Row],[Quantity]],"ERROR")</f>
        <v>26790</v>
      </c>
      <c r="W2" s="16" t="str">
        <f>PROPER(TRIM(Table14[[#This Row],[Customer_Name]]))</f>
        <v>Ocean Traders</v>
      </c>
      <c r="X2" s="16" t="str">
        <f>PROPER(TRIM(Table14[[#This Row],[Region]]))</f>
        <v>West</v>
      </c>
      <c r="Y2" s="16">
        <f>YEAR(Table14[[#This Row],[Date]])</f>
        <v>2026</v>
      </c>
      <c r="Z2" s="16">
        <f>MONTH(Table14[[#This Row],[Date]])</f>
        <v>1</v>
      </c>
      <c r="AA2" s="16" t="str">
        <f>MID(Table14[[#This Row],[Transaction_ID]],4,7)</f>
        <v>1015</v>
      </c>
      <c r="AB2" s="16" t="str">
        <f>_xlfn.CONCAT(Table14[[#This Row],[Region]],"-",Table14[[#This Row],[Category]])</f>
        <v>West-Electronics</v>
      </c>
    </row>
    <row r="3" spans="1:28">
      <c r="A3" s="4" t="s">
        <v>13</v>
      </c>
      <c r="B3" s="5">
        <v>46025</v>
      </c>
      <c r="C3" s="6" t="s">
        <v>14</v>
      </c>
      <c r="D3" s="6" t="s">
        <v>15</v>
      </c>
      <c r="E3" s="6" t="s">
        <v>16</v>
      </c>
      <c r="F3" s="6" t="s">
        <v>17</v>
      </c>
      <c r="G3" s="6" t="s">
        <v>18</v>
      </c>
      <c r="H3" s="6">
        <v>2</v>
      </c>
      <c r="I3" s="7">
        <v>52000</v>
      </c>
      <c r="J3" s="8">
        <v>0.08</v>
      </c>
      <c r="K3" s="6" t="s">
        <v>19</v>
      </c>
      <c r="L3" s="6" t="s">
        <v>20</v>
      </c>
      <c r="M3" s="6" t="s">
        <v>21</v>
      </c>
      <c r="N3" s="6">
        <f>Table14[[#This Row],[Quantity]]*Table14[[#This Row],[Unit_Price_INR]]</f>
        <v>104000</v>
      </c>
      <c r="O3" s="6">
        <f>Table14[[#This Row],[Gross sales]]*Table14[[#This Row],[Discount_Rate]]</f>
        <v>8320</v>
      </c>
      <c r="P3" s="6">
        <f>Table14[[#This Row],[Gross sales]]-Table14[[#This Row],[Discount_Amount]]</f>
        <v>95680</v>
      </c>
      <c r="Q3" s="6" t="str">
        <f>TEXT(Table14[[#This Row],[Date]],"mmmm")</f>
        <v>January</v>
      </c>
      <c r="R3" s="9" t="str">
        <f>IF(OR(Table14[[#This Row],[Status]]="Pending",Table14[[#This Row],[Status]]="Refunded"),"Review","OK")</f>
        <v>OK</v>
      </c>
      <c r="S3" s="6" t="str">
        <f>IF(Table14[[#This Row],[Net_Sales]]&gt;25000,"High",IF(Table14[[#This Row],[Net_Sales]]&gt;10000,"Medium","Low"))</f>
        <v>High</v>
      </c>
      <c r="T3" s="6" t="b">
        <f>AND(Table14[[#This Row],[Quantity]]&gt;=5,Table14[[#This Row],[Discount_Rate]]&gt;=10%)</f>
        <v>0</v>
      </c>
      <c r="U3" s="6" t="b">
        <f>OR(Table14[[#This Row],[Payment_Method]]="UPI",Table14[[#This Row],[Payment_Method]]="Cash")</f>
        <v>1</v>
      </c>
      <c r="V3" s="6">
        <f>IFERROR(Table14[[#This Row],[Net_Sales]]/Table14[[#This Row],[Quantity]],"ERROR")</f>
        <v>47840</v>
      </c>
      <c r="W3" s="6" t="str">
        <f>PROPER(TRIM(Table14[[#This Row],[Customer_Name]]))</f>
        <v>Asha Stores</v>
      </c>
      <c r="X3" s="6" t="str">
        <f>PROPER(TRIM(Table14[[#This Row],[Region]]))</f>
        <v>North</v>
      </c>
      <c r="Y3" s="6">
        <f>YEAR(Table14[[#This Row],[Date]])</f>
        <v>2026</v>
      </c>
      <c r="Z3" s="6">
        <f>MONTH(Table14[[#This Row],[Date]])</f>
        <v>1</v>
      </c>
      <c r="AA3" s="6" t="str">
        <f>MID(Table14[[#This Row],[Transaction_ID]],4,7)</f>
        <v>1001</v>
      </c>
      <c r="AB3" s="6" t="str">
        <f>_xlfn.CONCAT(Table14[[#This Row],[Region]],"-",Table14[[#This Row],[Category]])</f>
        <v>North-Electronics</v>
      </c>
    </row>
    <row r="4" spans="1:28">
      <c r="A4" s="10" t="s">
        <v>143</v>
      </c>
      <c r="B4" s="11">
        <v>46091</v>
      </c>
      <c r="C4" s="12" t="s">
        <v>38</v>
      </c>
      <c r="D4" s="12" t="s">
        <v>39</v>
      </c>
      <c r="E4" s="12" t="s">
        <v>144</v>
      </c>
      <c r="F4" s="12" t="s">
        <v>17</v>
      </c>
      <c r="G4" s="12" t="s">
        <v>145</v>
      </c>
      <c r="H4" s="12">
        <v>2</v>
      </c>
      <c r="I4" s="13">
        <v>46500</v>
      </c>
      <c r="J4" s="14">
        <v>0.08</v>
      </c>
      <c r="K4" s="12" t="s">
        <v>43</v>
      </c>
      <c r="L4" s="12" t="s">
        <v>20</v>
      </c>
      <c r="M4" s="12" t="s">
        <v>44</v>
      </c>
      <c r="N4" s="6">
        <f>Table14[[#This Row],[Quantity]]*Table14[[#This Row],[Unit_Price_INR]]</f>
        <v>93000</v>
      </c>
      <c r="O4" s="6">
        <f>Table14[[#This Row],[Gross sales]]*Table14[[#This Row],[Discount_Rate]]</f>
        <v>7440</v>
      </c>
      <c r="P4" s="6">
        <f>Table14[[#This Row],[Gross sales]]-Table14[[#This Row],[Discount_Amount]]</f>
        <v>85560</v>
      </c>
      <c r="Q4" s="6" t="str">
        <f>TEXT(Table14[[#This Row],[Date]],"mmmm")</f>
        <v>March</v>
      </c>
      <c r="R4" s="9" t="str">
        <f>IF(OR(Table14[[#This Row],[Status]]="Pending",Table14[[#This Row],[Status]]="Refunded"),"Review","OK")</f>
        <v>OK</v>
      </c>
      <c r="S4" s="6" t="str">
        <f>IF(Table14[[#This Row],[Net_Sales]]&gt;25000,"High",IF(Table14[[#This Row],[Net_Sales]]&gt;10000,"Medium","Low"))</f>
        <v>High</v>
      </c>
      <c r="T4" s="6" t="b">
        <f>AND(Table14[[#This Row],[Quantity]]&gt;=5,Table14[[#This Row],[Discount_Rate]]&gt;=10%)</f>
        <v>0</v>
      </c>
      <c r="U4" s="6" t="b">
        <f>OR(Table14[[#This Row],[Payment_Method]]="UPI",Table14[[#This Row],[Payment_Method]]="Cash")</f>
        <v>0</v>
      </c>
      <c r="V4" s="6">
        <f>IFERROR(Table14[[#This Row],[Net_Sales]]/Table14[[#This Row],[Quantity]],"ERROR")</f>
        <v>42780</v>
      </c>
      <c r="W4" s="6" t="str">
        <f>PROPER(TRIM(Table14[[#This Row],[Customer_Name]]))</f>
        <v>Juniper Distributors</v>
      </c>
      <c r="X4" s="6" t="str">
        <f>PROPER(TRIM(Table14[[#This Row],[Region]]))</f>
        <v>East</v>
      </c>
      <c r="Y4" s="6">
        <f>YEAR(Table14[[#This Row],[Date]])</f>
        <v>2026</v>
      </c>
      <c r="Z4" s="6">
        <f>MONTH(Table14[[#This Row],[Date]])</f>
        <v>3</v>
      </c>
      <c r="AA4" s="6" t="str">
        <f>MID(Table14[[#This Row],[Transaction_ID]],4,7)</f>
        <v>1036</v>
      </c>
      <c r="AB4" s="6" t="str">
        <f>_xlfn.CONCAT(Table14[[#This Row],[Region]],"-",Table14[[#This Row],[Category]])</f>
        <v>East-Electronics</v>
      </c>
    </row>
    <row r="5" spans="1:28">
      <c r="A5" s="4" t="s">
        <v>170</v>
      </c>
      <c r="B5" s="5">
        <v>46110</v>
      </c>
      <c r="C5" s="6" t="s">
        <v>14</v>
      </c>
      <c r="D5" s="6" t="s">
        <v>39</v>
      </c>
      <c r="E5" s="6" t="s">
        <v>171</v>
      </c>
      <c r="F5" s="6" t="s">
        <v>17</v>
      </c>
      <c r="G5" s="6" t="s">
        <v>172</v>
      </c>
      <c r="H5" s="6">
        <v>2</v>
      </c>
      <c r="I5" s="7">
        <v>42000</v>
      </c>
      <c r="J5" s="8">
        <v>7.0000000000000007E-2</v>
      </c>
      <c r="K5" s="6" t="s">
        <v>43</v>
      </c>
      <c r="L5" s="6" t="s">
        <v>20</v>
      </c>
      <c r="M5" s="6" t="s">
        <v>21</v>
      </c>
      <c r="N5" s="6">
        <f>Table14[[#This Row],[Quantity]]*Table14[[#This Row],[Unit_Price_INR]]</f>
        <v>84000</v>
      </c>
      <c r="O5" s="6">
        <f>Table14[[#This Row],[Gross sales]]*Table14[[#This Row],[Discount_Rate]]</f>
        <v>5880.0000000000009</v>
      </c>
      <c r="P5" s="6">
        <f>Table14[[#This Row],[Gross sales]]-Table14[[#This Row],[Discount_Amount]]</f>
        <v>78120</v>
      </c>
      <c r="Q5" s="6" t="str">
        <f>TEXT(Table14[[#This Row],[Date]],"mmmm")</f>
        <v>March</v>
      </c>
      <c r="R5" s="9" t="str">
        <f>IF(OR(Table14[[#This Row],[Status]]="Pending",Table14[[#This Row],[Status]]="Refunded"),"Review","OK")</f>
        <v>OK</v>
      </c>
      <c r="S5" s="6" t="str">
        <f>IF(Table14[[#This Row],[Net_Sales]]&gt;25000,"High",IF(Table14[[#This Row],[Net_Sales]]&gt;10000,"Medium","Low"))</f>
        <v>High</v>
      </c>
      <c r="T5" s="6" t="b">
        <f>AND(Table14[[#This Row],[Quantity]]&gt;=5,Table14[[#This Row],[Discount_Rate]]&gt;=10%)</f>
        <v>0</v>
      </c>
      <c r="U5" s="6" t="b">
        <f>OR(Table14[[#This Row],[Payment_Method]]="UPI",Table14[[#This Row],[Payment_Method]]="Cash")</f>
        <v>0</v>
      </c>
      <c r="V5" s="6">
        <f>IFERROR(Table14[[#This Row],[Net_Sales]]/Table14[[#This Row],[Quantity]],"ERROR")</f>
        <v>39060</v>
      </c>
      <c r="W5" s="6" t="str">
        <f>PROPER(TRIM(Table14[[#This Row],[Customer_Name]]))</f>
        <v>Silverline Traders</v>
      </c>
      <c r="X5" s="6" t="str">
        <f>PROPER(TRIM(Table14[[#This Row],[Region]]))</f>
        <v>North</v>
      </c>
      <c r="Y5" s="6">
        <f>YEAR(Table14[[#This Row],[Date]])</f>
        <v>2026</v>
      </c>
      <c r="Z5" s="6">
        <f>MONTH(Table14[[#This Row],[Date]])</f>
        <v>3</v>
      </c>
      <c r="AA5" s="6" t="str">
        <f>MID(Table14[[#This Row],[Transaction_ID]],4,7)</f>
        <v>1045</v>
      </c>
      <c r="AB5" s="6" t="str">
        <f>_xlfn.CONCAT(Table14[[#This Row],[Region]],"-",Table14[[#This Row],[Category]])</f>
        <v>North-Electronics</v>
      </c>
    </row>
    <row r="6" spans="1:28">
      <c r="A6" s="4" t="s">
        <v>91</v>
      </c>
      <c r="B6" s="5">
        <v>46055</v>
      </c>
      <c r="C6" s="6" t="s">
        <v>31</v>
      </c>
      <c r="D6" s="6" t="s">
        <v>24</v>
      </c>
      <c r="E6" s="6" t="s">
        <v>92</v>
      </c>
      <c r="F6" s="6" t="s">
        <v>17</v>
      </c>
      <c r="G6" s="6" t="s">
        <v>93</v>
      </c>
      <c r="H6" s="6">
        <v>4</v>
      </c>
      <c r="I6" s="7">
        <v>22000</v>
      </c>
      <c r="J6" s="8">
        <v>0.12</v>
      </c>
      <c r="K6" s="6" t="s">
        <v>28</v>
      </c>
      <c r="L6" s="6" t="s">
        <v>20</v>
      </c>
      <c r="M6" s="6" t="s">
        <v>36</v>
      </c>
      <c r="N6" s="6">
        <f>Table14[[#This Row],[Quantity]]*Table14[[#This Row],[Unit_Price_INR]]</f>
        <v>88000</v>
      </c>
      <c r="O6" s="6">
        <f>Table14[[#This Row],[Gross sales]]*Table14[[#This Row],[Discount_Rate]]</f>
        <v>10560</v>
      </c>
      <c r="P6" s="6">
        <f>Table14[[#This Row],[Gross sales]]-Table14[[#This Row],[Discount_Amount]]</f>
        <v>77440</v>
      </c>
      <c r="Q6" s="6" t="str">
        <f>TEXT(Table14[[#This Row],[Date]],"mmmm")</f>
        <v>February</v>
      </c>
      <c r="R6" s="9" t="str">
        <f>IF(OR(Table14[[#This Row],[Status]]="Pending",Table14[[#This Row],[Status]]="Refunded"),"Review","OK")</f>
        <v>OK</v>
      </c>
      <c r="S6" s="6" t="str">
        <f>IF(Table14[[#This Row],[Net_Sales]]&gt;25000,"High",IF(Table14[[#This Row],[Net_Sales]]&gt;10000,"Medium","Low"))</f>
        <v>High</v>
      </c>
      <c r="T6" s="6" t="b">
        <f>AND(Table14[[#This Row],[Quantity]]&gt;=5,Table14[[#This Row],[Discount_Rate]]&gt;=10%)</f>
        <v>0</v>
      </c>
      <c r="U6" s="6" t="b">
        <f>OR(Table14[[#This Row],[Payment_Method]]="UPI",Table14[[#This Row],[Payment_Method]]="Cash")</f>
        <v>0</v>
      </c>
      <c r="V6" s="6">
        <f>IFERROR(Table14[[#This Row],[Net_Sales]]/Table14[[#This Row],[Quantity]],"ERROR")</f>
        <v>19360</v>
      </c>
      <c r="W6" s="6" t="str">
        <f>PROPER(TRIM(Table14[[#This Row],[Customer_Name]]))</f>
        <v>Sunrise Shop</v>
      </c>
      <c r="X6" s="6" t="str">
        <f>PROPER(TRIM(Table14[[#This Row],[Region]]))</f>
        <v>West</v>
      </c>
      <c r="Y6" s="6">
        <f>YEAR(Table14[[#This Row],[Date]])</f>
        <v>2026</v>
      </c>
      <c r="Z6" s="6">
        <f>MONTH(Table14[[#This Row],[Date]])</f>
        <v>2</v>
      </c>
      <c r="AA6" s="6" t="str">
        <f>MID(Table14[[#This Row],[Transaction_ID]],4,7)</f>
        <v>1019</v>
      </c>
      <c r="AB6" s="6" t="str">
        <f>_xlfn.CONCAT(Table14[[#This Row],[Region]],"-",Table14[[#This Row],[Category]])</f>
        <v>West-Electronics</v>
      </c>
    </row>
    <row r="7" spans="1:28">
      <c r="A7" s="4" t="s">
        <v>134</v>
      </c>
      <c r="B7" s="5">
        <v>46085</v>
      </c>
      <c r="C7" s="6" t="s">
        <v>14</v>
      </c>
      <c r="D7" s="6" t="s">
        <v>39</v>
      </c>
      <c r="E7" s="6" t="s">
        <v>135</v>
      </c>
      <c r="F7" s="6" t="s">
        <v>26</v>
      </c>
      <c r="G7" s="6" t="s">
        <v>136</v>
      </c>
      <c r="H7" s="6">
        <v>2</v>
      </c>
      <c r="I7" s="7">
        <v>38500</v>
      </c>
      <c r="J7" s="8">
        <v>0.06</v>
      </c>
      <c r="K7" s="6" t="s">
        <v>43</v>
      </c>
      <c r="L7" s="6" t="s">
        <v>20</v>
      </c>
      <c r="M7" s="6" t="s">
        <v>21</v>
      </c>
      <c r="N7" s="6">
        <f>Table14[[#This Row],[Quantity]]*Table14[[#This Row],[Unit_Price_INR]]</f>
        <v>77000</v>
      </c>
      <c r="O7" s="6">
        <f>Table14[[#This Row],[Gross sales]]*Table14[[#This Row],[Discount_Rate]]</f>
        <v>4620</v>
      </c>
      <c r="P7" s="6">
        <f>Table14[[#This Row],[Gross sales]]-Table14[[#This Row],[Discount_Amount]]</f>
        <v>72380</v>
      </c>
      <c r="Q7" s="6" t="str">
        <f>TEXT(Table14[[#This Row],[Date]],"mmmm")</f>
        <v>March</v>
      </c>
      <c r="R7" s="9" t="str">
        <f>IF(OR(Table14[[#This Row],[Status]]="Pending",Table14[[#This Row],[Status]]="Refunded"),"Review","OK")</f>
        <v>OK</v>
      </c>
      <c r="S7" s="6" t="str">
        <f>IF(Table14[[#This Row],[Net_Sales]]&gt;25000,"High",IF(Table14[[#This Row],[Net_Sales]]&gt;10000,"Medium","Low"))</f>
        <v>High</v>
      </c>
      <c r="T7" s="6" t="b">
        <f>AND(Table14[[#This Row],[Quantity]]&gt;=5,Table14[[#This Row],[Discount_Rate]]&gt;=10%)</f>
        <v>0</v>
      </c>
      <c r="U7" s="6" t="b">
        <f>OR(Table14[[#This Row],[Payment_Method]]="UPI",Table14[[#This Row],[Payment_Method]]="Cash")</f>
        <v>0</v>
      </c>
      <c r="V7" s="6">
        <f>IFERROR(Table14[[#This Row],[Net_Sales]]/Table14[[#This Row],[Quantity]],"ERROR")</f>
        <v>36190</v>
      </c>
      <c r="W7" s="6" t="str">
        <f>PROPER(TRIM(Table14[[#This Row],[Customer_Name]]))</f>
        <v>Grove Traders</v>
      </c>
      <c r="X7" s="6" t="str">
        <f>PROPER(TRIM(Table14[[#This Row],[Region]]))</f>
        <v>North</v>
      </c>
      <c r="Y7" s="6">
        <f>YEAR(Table14[[#This Row],[Date]])</f>
        <v>2026</v>
      </c>
      <c r="Z7" s="6">
        <f>MONTH(Table14[[#This Row],[Date]])</f>
        <v>3</v>
      </c>
      <c r="AA7" s="6" t="str">
        <f>MID(Table14[[#This Row],[Transaction_ID]],4,7)</f>
        <v>1033</v>
      </c>
      <c r="AB7" s="6" t="str">
        <f>_xlfn.CONCAT(Table14[[#This Row],[Region]],"-",Table14[[#This Row],[Category]])</f>
        <v>North-Home</v>
      </c>
    </row>
    <row r="8" spans="1:28">
      <c r="A8" s="10" t="s">
        <v>37</v>
      </c>
      <c r="B8" s="11">
        <v>46028</v>
      </c>
      <c r="C8" s="12" t="s">
        <v>38</v>
      </c>
      <c r="D8" s="12" t="s">
        <v>39</v>
      </c>
      <c r="E8" s="12" t="s">
        <v>40</v>
      </c>
      <c r="F8" s="12" t="s">
        <v>41</v>
      </c>
      <c r="G8" s="12" t="s">
        <v>42</v>
      </c>
      <c r="H8" s="12">
        <v>4</v>
      </c>
      <c r="I8" s="13">
        <v>18500</v>
      </c>
      <c r="J8" s="14">
        <v>0.1</v>
      </c>
      <c r="K8" s="12" t="s">
        <v>43</v>
      </c>
      <c r="L8" s="12" t="s">
        <v>20</v>
      </c>
      <c r="M8" s="12" t="s">
        <v>44</v>
      </c>
      <c r="N8" s="6">
        <f>Table14[[#This Row],[Quantity]]*Table14[[#This Row],[Unit_Price_INR]]</f>
        <v>74000</v>
      </c>
      <c r="O8" s="6">
        <f>Table14[[#This Row],[Gross sales]]*Table14[[#This Row],[Discount_Rate]]</f>
        <v>7400</v>
      </c>
      <c r="P8" s="6">
        <f>Table14[[#This Row],[Gross sales]]-Table14[[#This Row],[Discount_Amount]]</f>
        <v>66600</v>
      </c>
      <c r="Q8" s="6" t="str">
        <f>TEXT(Table14[[#This Row],[Date]],"mmmm")</f>
        <v>January</v>
      </c>
      <c r="R8" s="9" t="str">
        <f>IF(OR(Table14[[#This Row],[Status]]="Pending",Table14[[#This Row],[Status]]="Refunded"),"Review","OK")</f>
        <v>OK</v>
      </c>
      <c r="S8" s="6" t="str">
        <f>IF(Table14[[#This Row],[Net_Sales]]&gt;25000,"High",IF(Table14[[#This Row],[Net_Sales]]&gt;10000,"Medium","Low"))</f>
        <v>High</v>
      </c>
      <c r="T8" s="6" t="b">
        <f>AND(Table14[[#This Row],[Quantity]]&gt;=5,Table14[[#This Row],[Discount_Rate]]&gt;=10%)</f>
        <v>0</v>
      </c>
      <c r="U8" s="6" t="b">
        <f>OR(Table14[[#This Row],[Payment_Method]]="UPI",Table14[[#This Row],[Payment_Method]]="Cash")</f>
        <v>0</v>
      </c>
      <c r="V8" s="6">
        <f>IFERROR(Table14[[#This Row],[Net_Sales]]/Table14[[#This Row],[Quantity]],"ERROR")</f>
        <v>16650</v>
      </c>
      <c r="W8" s="6" t="str">
        <f>PROPER(TRIM(Table14[[#This Row],[Customer_Name]]))</f>
        <v>Delta Traders</v>
      </c>
      <c r="X8" s="6" t="str">
        <f>PROPER(TRIM(Table14[[#This Row],[Region]]))</f>
        <v>East</v>
      </c>
      <c r="Y8" s="6">
        <f>YEAR(Table14[[#This Row],[Date]])</f>
        <v>2026</v>
      </c>
      <c r="Z8" s="6">
        <f>MONTH(Table14[[#This Row],[Date]])</f>
        <v>1</v>
      </c>
      <c r="AA8" s="6" t="str">
        <f>MID(Table14[[#This Row],[Transaction_ID]],4,7)</f>
        <v>1004</v>
      </c>
      <c r="AB8" s="6" t="str">
        <f>_xlfn.CONCAT(Table14[[#This Row],[Region]],"-",Table14[[#This Row],[Category]])</f>
        <v>East-Office</v>
      </c>
    </row>
    <row r="9" spans="1:28">
      <c r="A9" s="10" t="s">
        <v>179</v>
      </c>
      <c r="B9" s="11">
        <v>46118</v>
      </c>
      <c r="C9" s="12" t="s">
        <v>38</v>
      </c>
      <c r="D9" s="12" t="s">
        <v>39</v>
      </c>
      <c r="E9" s="12" t="s">
        <v>180</v>
      </c>
      <c r="F9" s="12" t="s">
        <v>26</v>
      </c>
      <c r="G9" s="12" t="s">
        <v>181</v>
      </c>
      <c r="H9" s="12">
        <v>2</v>
      </c>
      <c r="I9" s="13">
        <v>31500</v>
      </c>
      <c r="J9" s="14">
        <v>0.08</v>
      </c>
      <c r="K9" s="12" t="s">
        <v>43</v>
      </c>
      <c r="L9" s="12" t="s">
        <v>20</v>
      </c>
      <c r="M9" s="12" t="s">
        <v>44</v>
      </c>
      <c r="N9" s="6">
        <f>Table14[[#This Row],[Quantity]]*Table14[[#This Row],[Unit_Price_INR]]</f>
        <v>63000</v>
      </c>
      <c r="O9" s="6">
        <f>Table14[[#This Row],[Gross sales]]*Table14[[#This Row],[Discount_Rate]]</f>
        <v>5040</v>
      </c>
      <c r="P9" s="6">
        <f>Table14[[#This Row],[Gross sales]]-Table14[[#This Row],[Discount_Amount]]</f>
        <v>57960</v>
      </c>
      <c r="Q9" s="6" t="str">
        <f>TEXT(Table14[[#This Row],[Date]],"mmmm")</f>
        <v>April</v>
      </c>
      <c r="R9" s="9" t="str">
        <f>IF(OR(Table14[[#This Row],[Status]]="Pending",Table14[[#This Row],[Status]]="Refunded"),"Review","OK")</f>
        <v>OK</v>
      </c>
      <c r="S9" s="6" t="str">
        <f>IF(Table14[[#This Row],[Net_Sales]]&gt;25000,"High",IF(Table14[[#This Row],[Net_Sales]]&gt;10000,"Medium","Low"))</f>
        <v>High</v>
      </c>
      <c r="T9" s="6" t="b">
        <f>AND(Table14[[#This Row],[Quantity]]&gt;=5,Table14[[#This Row],[Discount_Rate]]&gt;=10%)</f>
        <v>0</v>
      </c>
      <c r="U9" s="6" t="b">
        <f>OR(Table14[[#This Row],[Payment_Method]]="UPI",Table14[[#This Row],[Payment_Method]]="Cash")</f>
        <v>0</v>
      </c>
      <c r="V9" s="6">
        <f>IFERROR(Table14[[#This Row],[Net_Sales]]/Table14[[#This Row],[Quantity]],"ERROR")</f>
        <v>28980</v>
      </c>
      <c r="W9" s="6" t="str">
        <f>PROPER(TRIM(Table14[[#This Row],[Customer_Name]]))</f>
        <v>Vista Traders</v>
      </c>
      <c r="X9" s="6" t="str">
        <f>PROPER(TRIM(Table14[[#This Row],[Region]]))</f>
        <v>East</v>
      </c>
      <c r="Y9" s="6">
        <f>YEAR(Table14[[#This Row],[Date]])</f>
        <v>2026</v>
      </c>
      <c r="Z9" s="6">
        <f>MONTH(Table14[[#This Row],[Date]])</f>
        <v>4</v>
      </c>
      <c r="AA9" s="6" t="str">
        <f>MID(Table14[[#This Row],[Transaction_ID]],4,7)</f>
        <v>1048</v>
      </c>
      <c r="AB9" s="6" t="str">
        <f>_xlfn.CONCAT(Table14[[#This Row],[Region]],"-",Table14[[#This Row],[Category]])</f>
        <v>East-Home</v>
      </c>
    </row>
    <row r="10" spans="1:28">
      <c r="A10" s="4" t="s">
        <v>67</v>
      </c>
      <c r="B10" s="5">
        <v>46037</v>
      </c>
      <c r="C10" s="6" t="s">
        <v>31</v>
      </c>
      <c r="D10" s="6" t="s">
        <v>15</v>
      </c>
      <c r="E10" s="6" t="s">
        <v>68</v>
      </c>
      <c r="F10" s="6" t="s">
        <v>17</v>
      </c>
      <c r="G10" s="6" t="s">
        <v>69</v>
      </c>
      <c r="H10" s="6">
        <v>4</v>
      </c>
      <c r="I10" s="7">
        <v>11200</v>
      </c>
      <c r="J10" s="8">
        <v>0.08</v>
      </c>
      <c r="K10" s="6" t="s">
        <v>28</v>
      </c>
      <c r="L10" s="6" t="s">
        <v>20</v>
      </c>
      <c r="M10" s="6" t="s">
        <v>36</v>
      </c>
      <c r="N10" s="6">
        <f>Table14[[#This Row],[Quantity]]*Table14[[#This Row],[Unit_Price_INR]]</f>
        <v>44800</v>
      </c>
      <c r="O10" s="6">
        <f>Table14[[#This Row],[Gross sales]]*Table14[[#This Row],[Discount_Rate]]</f>
        <v>3584</v>
      </c>
      <c r="P10" s="6">
        <f>Table14[[#This Row],[Gross sales]]-Table14[[#This Row],[Discount_Amount]]</f>
        <v>41216</v>
      </c>
      <c r="Q10" s="6" t="str">
        <f>TEXT(Table14[[#This Row],[Date]],"mmmm")</f>
        <v>January</v>
      </c>
      <c r="R10" s="15" t="str">
        <f>IF(OR(Table14[[#This Row],[Status]]="Pending",Table14[[#This Row],[Status]]="Refunded"),"Review","OK")</f>
        <v>OK</v>
      </c>
      <c r="S10" s="6" t="str">
        <f>IF(Table14[[#This Row],[Net_Sales]]&gt;25000,"High",IF(Table14[[#This Row],[Net_Sales]]&gt;10000,"Medium","Low"))</f>
        <v>High</v>
      </c>
      <c r="T10" s="6" t="b">
        <f>AND(Table14[[#This Row],[Quantity]]&gt;=5,Table14[[#This Row],[Discount_Rate]]&gt;=10%)</f>
        <v>0</v>
      </c>
      <c r="U10" s="6" t="b">
        <f>OR(Table14[[#This Row],[Payment_Method]]="UPI",Table14[[#This Row],[Payment_Method]]="Cash")</f>
        <v>0</v>
      </c>
      <c r="V10" s="6">
        <f>IFERROR(Table14[[#This Row],[Net_Sales]]/Table14[[#This Row],[Quantity]],"ERROR")</f>
        <v>10304</v>
      </c>
      <c r="W10" s="6" t="str">
        <f>PROPER(TRIM(Table14[[#This Row],[Customer_Name]]))</f>
        <v>Kingfisher Store</v>
      </c>
      <c r="X10" s="6" t="str">
        <f>PROPER(TRIM(Table14[[#This Row],[Region]]))</f>
        <v>West</v>
      </c>
      <c r="Y10" s="6">
        <f>YEAR(Table14[[#This Row],[Date]])</f>
        <v>2026</v>
      </c>
      <c r="Z10" s="6">
        <f>MONTH(Table14[[#This Row],[Date]])</f>
        <v>1</v>
      </c>
      <c r="AA10" s="6" t="str">
        <f>MID(Table14[[#This Row],[Transaction_ID]],4,7)</f>
        <v>1011</v>
      </c>
      <c r="AB10" s="6" t="str">
        <f>_xlfn.CONCAT(Table14[[#This Row],[Region]],"-",Table14[[#This Row],[Category]])</f>
        <v>West-Electronics</v>
      </c>
    </row>
    <row r="11" spans="1:28">
      <c r="A11" s="4" t="s">
        <v>128</v>
      </c>
      <c r="B11" s="5">
        <v>46082</v>
      </c>
      <c r="C11" s="6" t="s">
        <v>31</v>
      </c>
      <c r="D11" s="6" t="s">
        <v>24</v>
      </c>
      <c r="E11" s="6" t="s">
        <v>129</v>
      </c>
      <c r="F11" s="6" t="s">
        <v>17</v>
      </c>
      <c r="G11" s="6" t="s">
        <v>130</v>
      </c>
      <c r="H11" s="6">
        <v>7</v>
      </c>
      <c r="I11" s="7">
        <v>6400</v>
      </c>
      <c r="J11" s="8">
        <v>0.1</v>
      </c>
      <c r="K11" s="6" t="s">
        <v>28</v>
      </c>
      <c r="L11" s="6" t="s">
        <v>20</v>
      </c>
      <c r="M11" s="6" t="s">
        <v>36</v>
      </c>
      <c r="N11" s="6">
        <f>Table14[[#This Row],[Quantity]]*Table14[[#This Row],[Unit_Price_INR]]</f>
        <v>44800</v>
      </c>
      <c r="O11" s="6">
        <f>Table14[[#This Row],[Gross sales]]*Table14[[#This Row],[Discount_Rate]]</f>
        <v>4480</v>
      </c>
      <c r="P11" s="6">
        <f>Table14[[#This Row],[Gross sales]]-Table14[[#This Row],[Discount_Amount]]</f>
        <v>40320</v>
      </c>
      <c r="Q11" s="6" t="str">
        <f>TEXT(Table14[[#This Row],[Date]],"mmmm")</f>
        <v>March</v>
      </c>
      <c r="R11" s="9" t="str">
        <f>IF(OR(Table14[[#This Row],[Status]]="Pending",Table14[[#This Row],[Status]]="Refunded"),"Review","OK")</f>
        <v>OK</v>
      </c>
      <c r="S11" s="6" t="str">
        <f>IF(Table14[[#This Row],[Net_Sales]]&gt;25000,"High",IF(Table14[[#This Row],[Net_Sales]]&gt;10000,"Medium","Low"))</f>
        <v>High</v>
      </c>
      <c r="T11" s="6" t="b">
        <f>AND(Table14[[#This Row],[Quantity]]&gt;=5,Table14[[#This Row],[Discount_Rate]]&gt;=10%)</f>
        <v>1</v>
      </c>
      <c r="U11" s="6" t="b">
        <f>OR(Table14[[#This Row],[Payment_Method]]="UPI",Table14[[#This Row],[Payment_Method]]="Cash")</f>
        <v>0</v>
      </c>
      <c r="V11" s="6">
        <f>IFERROR(Table14[[#This Row],[Net_Sales]]/Table14[[#This Row],[Quantity]],"ERROR")</f>
        <v>5760</v>
      </c>
      <c r="W11" s="6" t="str">
        <f>PROPER(TRIM(Table14[[#This Row],[Customer_Name]]))</f>
        <v>Elm Retail</v>
      </c>
      <c r="X11" s="6" t="str">
        <f>PROPER(TRIM(Table14[[#This Row],[Region]]))</f>
        <v>West</v>
      </c>
      <c r="Y11" s="6">
        <f>YEAR(Table14[[#This Row],[Date]])</f>
        <v>2026</v>
      </c>
      <c r="Z11" s="6">
        <f>MONTH(Table14[[#This Row],[Date]])</f>
        <v>3</v>
      </c>
      <c r="AA11" s="6" t="str">
        <f>MID(Table14[[#This Row],[Transaction_ID]],4,7)</f>
        <v>1031</v>
      </c>
      <c r="AB11" s="6" t="str">
        <f>_xlfn.CONCAT(Table14[[#This Row],[Region]],"-",Table14[[#This Row],[Category]])</f>
        <v>West-Electronics</v>
      </c>
    </row>
    <row r="12" spans="1:28">
      <c r="A12" s="4" t="s">
        <v>158</v>
      </c>
      <c r="B12" s="5">
        <v>46102</v>
      </c>
      <c r="C12" s="6" t="s">
        <v>14</v>
      </c>
      <c r="D12" s="6" t="s">
        <v>15</v>
      </c>
      <c r="E12" s="6" t="s">
        <v>159</v>
      </c>
      <c r="F12" s="6" t="s">
        <v>17</v>
      </c>
      <c r="G12" s="6" t="s">
        <v>160</v>
      </c>
      <c r="H12" s="6">
        <v>9</v>
      </c>
      <c r="I12" s="7">
        <v>4200</v>
      </c>
      <c r="J12" s="8">
        <v>0.05</v>
      </c>
      <c r="K12" s="6" t="s">
        <v>19</v>
      </c>
      <c r="L12" s="6" t="s">
        <v>20</v>
      </c>
      <c r="M12" s="6" t="s">
        <v>21</v>
      </c>
      <c r="N12" s="6">
        <f>Table14[[#This Row],[Quantity]]*Table14[[#This Row],[Unit_Price_INR]]</f>
        <v>37800</v>
      </c>
      <c r="O12" s="6">
        <f>Table14[[#This Row],[Gross sales]]*Table14[[#This Row],[Discount_Rate]]</f>
        <v>1890</v>
      </c>
      <c r="P12" s="6">
        <f>Table14[[#This Row],[Gross sales]]-Table14[[#This Row],[Discount_Amount]]</f>
        <v>35910</v>
      </c>
      <c r="Q12" s="6" t="str">
        <f>TEXT(Table14[[#This Row],[Date]],"mmmm")</f>
        <v>March</v>
      </c>
      <c r="R12" s="9" t="str">
        <f>IF(OR(Table14[[#This Row],[Status]]="Pending",Table14[[#This Row],[Status]]="Refunded"),"Review","OK")</f>
        <v>OK</v>
      </c>
      <c r="S12" s="6" t="str">
        <f>IF(Table14[[#This Row],[Net_Sales]]&gt;25000,"High",IF(Table14[[#This Row],[Net_Sales]]&gt;10000,"Medium","Low"))</f>
        <v>High</v>
      </c>
      <c r="T12" s="6" t="b">
        <f>AND(Table14[[#This Row],[Quantity]]&gt;=5,Table14[[#This Row],[Discount_Rate]]&gt;=10%)</f>
        <v>0</v>
      </c>
      <c r="U12" s="6" t="b">
        <f>OR(Table14[[#This Row],[Payment_Method]]="UPI",Table14[[#This Row],[Payment_Method]]="Cash")</f>
        <v>1</v>
      </c>
      <c r="V12" s="6">
        <f>IFERROR(Table14[[#This Row],[Net_Sales]]/Table14[[#This Row],[Quantity]],"ERROR")</f>
        <v>3990</v>
      </c>
      <c r="W12" s="6" t="str">
        <f>PROPER(TRIM(Table14[[#This Row],[Customer_Name]]))</f>
        <v>Olive Shop</v>
      </c>
      <c r="X12" s="6" t="str">
        <f>PROPER(TRIM(Table14[[#This Row],[Region]]))</f>
        <v>North</v>
      </c>
      <c r="Y12" s="6">
        <f>YEAR(Table14[[#This Row],[Date]])</f>
        <v>2026</v>
      </c>
      <c r="Z12" s="6">
        <f>MONTH(Table14[[#This Row],[Date]])</f>
        <v>3</v>
      </c>
      <c r="AA12" s="6" t="str">
        <f>MID(Table14[[#This Row],[Transaction_ID]],4,7)</f>
        <v>1041</v>
      </c>
      <c r="AB12" s="6" t="str">
        <f>_xlfn.CONCAT(Table14[[#This Row],[Region]],"-",Table14[[#This Row],[Category]])</f>
        <v>North-Electronics</v>
      </c>
    </row>
    <row r="13" spans="1:28">
      <c r="A13" s="4" t="s">
        <v>152</v>
      </c>
      <c r="B13" s="5">
        <v>46098</v>
      </c>
      <c r="C13" s="6" t="s">
        <v>31</v>
      </c>
      <c r="D13" s="6" t="s">
        <v>39</v>
      </c>
      <c r="E13" s="6" t="s">
        <v>153</v>
      </c>
      <c r="F13" s="6" t="s">
        <v>41</v>
      </c>
      <c r="G13" s="6" t="s">
        <v>154</v>
      </c>
      <c r="H13" s="6">
        <v>3</v>
      </c>
      <c r="I13" s="7">
        <v>11200</v>
      </c>
      <c r="J13" s="8">
        <v>0.04</v>
      </c>
      <c r="K13" s="6" t="s">
        <v>43</v>
      </c>
      <c r="L13" s="6" t="s">
        <v>20</v>
      </c>
      <c r="M13" s="6" t="s">
        <v>36</v>
      </c>
      <c r="N13" s="6">
        <f>Table14[[#This Row],[Quantity]]*Table14[[#This Row],[Unit_Price_INR]]</f>
        <v>33600</v>
      </c>
      <c r="O13" s="6">
        <f>Table14[[#This Row],[Gross sales]]*Table14[[#This Row],[Discount_Rate]]</f>
        <v>1344</v>
      </c>
      <c r="P13" s="6">
        <f>Table14[[#This Row],[Gross sales]]-Table14[[#This Row],[Discount_Amount]]</f>
        <v>32256</v>
      </c>
      <c r="Q13" s="6" t="str">
        <f>TEXT(Table14[[#This Row],[Date]],"mmmm")</f>
        <v>March</v>
      </c>
      <c r="R13" s="9" t="str">
        <f>IF(OR(Table14[[#This Row],[Status]]="Pending",Table14[[#This Row],[Status]]="Refunded"),"Review","OK")</f>
        <v>OK</v>
      </c>
      <c r="S13" s="6" t="str">
        <f>IF(Table14[[#This Row],[Net_Sales]]&gt;25000,"High",IF(Table14[[#This Row],[Net_Sales]]&gt;10000,"Medium","Low"))</f>
        <v>High</v>
      </c>
      <c r="T13" s="6" t="b">
        <f>AND(Table14[[#This Row],[Quantity]]&gt;=5,Table14[[#This Row],[Discount_Rate]]&gt;=10%)</f>
        <v>0</v>
      </c>
      <c r="U13" s="6" t="b">
        <f>OR(Table14[[#This Row],[Payment_Method]]="UPI",Table14[[#This Row],[Payment_Method]]="Cash")</f>
        <v>0</v>
      </c>
      <c r="V13" s="6">
        <f>IFERROR(Table14[[#This Row],[Net_Sales]]/Table14[[#This Row],[Quantity]],"ERROR")</f>
        <v>10752</v>
      </c>
      <c r="W13" s="6" t="str">
        <f>PROPER(TRIM(Table14[[#This Row],[Customer_Name]]))</f>
        <v>Maple Traders</v>
      </c>
      <c r="X13" s="6" t="str">
        <f>PROPER(TRIM(Table14[[#This Row],[Region]]))</f>
        <v>West</v>
      </c>
      <c r="Y13" s="6">
        <f>YEAR(Table14[[#This Row],[Date]])</f>
        <v>2026</v>
      </c>
      <c r="Z13" s="6">
        <f>MONTH(Table14[[#This Row],[Date]])</f>
        <v>3</v>
      </c>
      <c r="AA13" s="6" t="str">
        <f>MID(Table14[[#This Row],[Transaction_ID]],4,7)</f>
        <v>1039</v>
      </c>
      <c r="AB13" s="6" t="str">
        <f>_xlfn.CONCAT(Table14[[#This Row],[Region]],"-",Table14[[#This Row],[Category]])</f>
        <v>West-Office</v>
      </c>
    </row>
    <row r="14" spans="1:28">
      <c r="A14" s="4" t="s">
        <v>103</v>
      </c>
      <c r="B14" s="5">
        <v>46061</v>
      </c>
      <c r="C14" s="6" t="s">
        <v>31</v>
      </c>
      <c r="D14" s="6" t="s">
        <v>15</v>
      </c>
      <c r="E14" s="6" t="s">
        <v>104</v>
      </c>
      <c r="F14" s="6" t="s">
        <v>26</v>
      </c>
      <c r="G14" s="6" t="s">
        <v>105</v>
      </c>
      <c r="H14" s="6">
        <v>2</v>
      </c>
      <c r="I14" s="7">
        <v>16800</v>
      </c>
      <c r="J14" s="8">
        <v>7.0000000000000007E-2</v>
      </c>
      <c r="K14" s="6" t="s">
        <v>19</v>
      </c>
      <c r="L14" s="6" t="s">
        <v>20</v>
      </c>
      <c r="M14" s="6" t="s">
        <v>36</v>
      </c>
      <c r="N14" s="6">
        <f>Table14[[#This Row],[Quantity]]*Table14[[#This Row],[Unit_Price_INR]]</f>
        <v>33600</v>
      </c>
      <c r="O14" s="6">
        <f>Table14[[#This Row],[Gross sales]]*Table14[[#This Row],[Discount_Rate]]</f>
        <v>2352</v>
      </c>
      <c r="P14" s="6">
        <f>Table14[[#This Row],[Gross sales]]-Table14[[#This Row],[Discount_Amount]]</f>
        <v>31248</v>
      </c>
      <c r="Q14" s="6" t="str">
        <f>TEXT(Table14[[#This Row],[Date]],"mmmm")</f>
        <v>February</v>
      </c>
      <c r="R14" s="9" t="str">
        <f>IF(OR(Table14[[#This Row],[Status]]="Pending",Table14[[#This Row],[Status]]="Refunded"),"Review","OK")</f>
        <v>OK</v>
      </c>
      <c r="S14" s="6" t="str">
        <f>IF(Table14[[#This Row],[Net_Sales]]&gt;25000,"High",IF(Table14[[#This Row],[Net_Sales]]&gt;10000,"Medium","Low"))</f>
        <v>High</v>
      </c>
      <c r="T14" s="6" t="b">
        <f>AND(Table14[[#This Row],[Quantity]]&gt;=5,Table14[[#This Row],[Discount_Rate]]&gt;=10%)</f>
        <v>0</v>
      </c>
      <c r="U14" s="6" t="b">
        <f>OR(Table14[[#This Row],[Payment_Method]]="UPI",Table14[[#This Row],[Payment_Method]]="Cash")</f>
        <v>1</v>
      </c>
      <c r="V14" s="6">
        <f>IFERROR(Table14[[#This Row],[Net_Sales]]/Table14[[#This Row],[Quantity]],"ERROR")</f>
        <v>15624</v>
      </c>
      <c r="W14" s="6" t="str">
        <f>PROPER(TRIM(Table14[[#This Row],[Customer_Name]]))</f>
        <v>Willow Mart</v>
      </c>
      <c r="X14" s="6" t="str">
        <f>PROPER(TRIM(Table14[[#This Row],[Region]]))</f>
        <v>West</v>
      </c>
      <c r="Y14" s="6">
        <f>YEAR(Table14[[#This Row],[Date]])</f>
        <v>2026</v>
      </c>
      <c r="Z14" s="6">
        <f>MONTH(Table14[[#This Row],[Date]])</f>
        <v>2</v>
      </c>
      <c r="AA14" s="6" t="str">
        <f>MID(Table14[[#This Row],[Transaction_ID]],4,7)</f>
        <v>1023</v>
      </c>
      <c r="AB14" s="6" t="str">
        <f>_xlfn.CONCAT(Table14[[#This Row],[Region]],"-",Table14[[#This Row],[Category]])</f>
        <v>West-Home</v>
      </c>
    </row>
    <row r="15" spans="1:28">
      <c r="A15" s="10" t="s">
        <v>155</v>
      </c>
      <c r="B15" s="11">
        <v>46100</v>
      </c>
      <c r="C15" s="12" t="s">
        <v>38</v>
      </c>
      <c r="D15" s="12" t="s">
        <v>24</v>
      </c>
      <c r="E15" s="12" t="s">
        <v>156</v>
      </c>
      <c r="F15" s="12" t="s">
        <v>47</v>
      </c>
      <c r="G15" s="12" t="s">
        <v>157</v>
      </c>
      <c r="H15" s="12">
        <v>6</v>
      </c>
      <c r="I15" s="13">
        <v>5600</v>
      </c>
      <c r="J15" s="14">
        <v>0.15</v>
      </c>
      <c r="K15" s="12" t="s">
        <v>28</v>
      </c>
      <c r="L15" s="12" t="s">
        <v>66</v>
      </c>
      <c r="M15" s="12" t="s">
        <v>44</v>
      </c>
      <c r="N15" s="6">
        <f>Table14[[#This Row],[Quantity]]*Table14[[#This Row],[Unit_Price_INR]]</f>
        <v>33600</v>
      </c>
      <c r="O15" s="6">
        <f>Table14[[#This Row],[Gross sales]]*Table14[[#This Row],[Discount_Rate]]</f>
        <v>5040</v>
      </c>
      <c r="P15" s="6">
        <f>Table14[[#This Row],[Gross sales]]-Table14[[#This Row],[Discount_Amount]]</f>
        <v>28560</v>
      </c>
      <c r="Q15" s="6" t="str">
        <f>TEXT(Table14[[#This Row],[Date]],"mmmm")</f>
        <v>March</v>
      </c>
      <c r="R15" s="9" t="str">
        <f>IF(OR(Table14[[#This Row],[Status]]="Pending",Table14[[#This Row],[Status]]="Refunded"),"Review","OK")</f>
        <v>Review</v>
      </c>
      <c r="S15" s="6" t="str">
        <f>IF(Table14[[#This Row],[Net_Sales]]&gt;25000,"High",IF(Table14[[#This Row],[Net_Sales]]&gt;10000,"Medium","Low"))</f>
        <v>High</v>
      </c>
      <c r="T15" s="6" t="b">
        <f>AND(Table14[[#This Row],[Quantity]]&gt;=5,Table14[[#This Row],[Discount_Rate]]&gt;=10%)</f>
        <v>1</v>
      </c>
      <c r="U15" s="6" t="b">
        <f>OR(Table14[[#This Row],[Payment_Method]]="UPI",Table14[[#This Row],[Payment_Method]]="Cash")</f>
        <v>0</v>
      </c>
      <c r="V15" s="6">
        <f>IFERROR(Table14[[#This Row],[Net_Sales]]/Table14[[#This Row],[Quantity]],"ERROR")</f>
        <v>4760</v>
      </c>
      <c r="W15" s="6" t="str">
        <f>PROPER(TRIM(Table14[[#This Row],[Customer_Name]]))</f>
        <v>Noble Retail</v>
      </c>
      <c r="X15" s="6" t="str">
        <f>PROPER(TRIM(Table14[[#This Row],[Region]]))</f>
        <v>East</v>
      </c>
      <c r="Y15" s="6">
        <f>YEAR(Table14[[#This Row],[Date]])</f>
        <v>2026</v>
      </c>
      <c r="Z15" s="6">
        <f>MONTH(Table14[[#This Row],[Date]])</f>
        <v>3</v>
      </c>
      <c r="AA15" s="6" t="str">
        <f>MID(Table14[[#This Row],[Transaction_ID]],4,7)</f>
        <v>1040</v>
      </c>
      <c r="AB15" s="6" t="str">
        <f>_xlfn.CONCAT(Table14[[#This Row],[Region]],"-",Table14[[#This Row],[Category]])</f>
        <v>East-Fashion</v>
      </c>
    </row>
    <row r="16" spans="1:28">
      <c r="A16" s="4" t="s">
        <v>97</v>
      </c>
      <c r="B16" s="5">
        <v>46058</v>
      </c>
      <c r="C16" s="6" t="s">
        <v>14</v>
      </c>
      <c r="D16" s="6" t="s">
        <v>39</v>
      </c>
      <c r="E16" s="6" t="s">
        <v>98</v>
      </c>
      <c r="F16" s="6" t="s">
        <v>41</v>
      </c>
      <c r="G16" s="6" t="s">
        <v>99</v>
      </c>
      <c r="H16" s="6">
        <v>3</v>
      </c>
      <c r="I16" s="7">
        <v>9800</v>
      </c>
      <c r="J16" s="8">
        <v>0.05</v>
      </c>
      <c r="K16" s="6" t="s">
        <v>43</v>
      </c>
      <c r="L16" s="6" t="s">
        <v>20</v>
      </c>
      <c r="M16" s="6" t="s">
        <v>21</v>
      </c>
      <c r="N16" s="6">
        <f>Table14[[#This Row],[Quantity]]*Table14[[#This Row],[Unit_Price_INR]]</f>
        <v>29400</v>
      </c>
      <c r="O16" s="6">
        <f>Table14[[#This Row],[Gross sales]]*Table14[[#This Row],[Discount_Rate]]</f>
        <v>1470</v>
      </c>
      <c r="P16" s="6">
        <f>Table14[[#This Row],[Gross sales]]-Table14[[#This Row],[Discount_Amount]]</f>
        <v>27930</v>
      </c>
      <c r="Q16" s="6" t="str">
        <f>TEXT(Table14[[#This Row],[Date]],"mmmm")</f>
        <v>February</v>
      </c>
      <c r="R16" s="9" t="str">
        <f>IF(OR(Table14[[#This Row],[Status]]="Pending",Table14[[#This Row],[Status]]="Refunded"),"Review","OK")</f>
        <v>OK</v>
      </c>
      <c r="S16" s="6" t="str">
        <f>IF(Table14[[#This Row],[Net_Sales]]&gt;25000,"High",IF(Table14[[#This Row],[Net_Sales]]&gt;10000,"Medium","Low"))</f>
        <v>High</v>
      </c>
      <c r="T16" s="6" t="b">
        <f>AND(Table14[[#This Row],[Quantity]]&gt;=5,Table14[[#This Row],[Discount_Rate]]&gt;=10%)</f>
        <v>0</v>
      </c>
      <c r="U16" s="6" t="b">
        <f>OR(Table14[[#This Row],[Payment_Method]]="UPI",Table14[[#This Row],[Payment_Method]]="Cash")</f>
        <v>0</v>
      </c>
      <c r="V16" s="6">
        <f>IFERROR(Table14[[#This Row],[Net_Sales]]/Table14[[#This Row],[Quantity]],"ERROR")</f>
        <v>9310</v>
      </c>
      <c r="W16" s="6" t="str">
        <f>PROPER(TRIM(Table14[[#This Row],[Customer_Name]]))</f>
        <v>Unity Traders</v>
      </c>
      <c r="X16" s="6" t="str">
        <f>PROPER(TRIM(Table14[[#This Row],[Region]]))</f>
        <v>North</v>
      </c>
      <c r="Y16" s="6">
        <f>YEAR(Table14[[#This Row],[Date]])</f>
        <v>2026</v>
      </c>
      <c r="Z16" s="6">
        <f>MONTH(Table14[[#This Row],[Date]])</f>
        <v>2</v>
      </c>
      <c r="AA16" s="6" t="str">
        <f>MID(Table14[[#This Row],[Transaction_ID]],4,7)</f>
        <v>1021</v>
      </c>
      <c r="AB16" s="6" t="str">
        <f>_xlfn.CONCAT(Table14[[#This Row],[Region]],"-",Table14[[#This Row],[Category]])</f>
        <v>North-Office</v>
      </c>
    </row>
    <row r="17" spans="1:28">
      <c r="A17" s="4" t="s">
        <v>60</v>
      </c>
      <c r="B17" s="5">
        <v>46034</v>
      </c>
      <c r="C17" s="6" t="s">
        <v>14</v>
      </c>
      <c r="D17" s="6" t="s">
        <v>39</v>
      </c>
      <c r="E17" s="6" t="s">
        <v>61</v>
      </c>
      <c r="F17" s="6" t="s">
        <v>26</v>
      </c>
      <c r="G17" s="6" t="s">
        <v>62</v>
      </c>
      <c r="H17" s="6">
        <v>2</v>
      </c>
      <c r="I17" s="7">
        <v>14500</v>
      </c>
      <c r="J17" s="8">
        <v>0.05</v>
      </c>
      <c r="K17" s="6" t="s">
        <v>43</v>
      </c>
      <c r="L17" s="6" t="s">
        <v>20</v>
      </c>
      <c r="M17" s="6" t="s">
        <v>29</v>
      </c>
      <c r="N17" s="6">
        <f>Table14[[#This Row],[Quantity]]*Table14[[#This Row],[Unit_Price_INR]]</f>
        <v>29000</v>
      </c>
      <c r="O17" s="6">
        <f>Table14[[#This Row],[Gross sales]]*Table14[[#This Row],[Discount_Rate]]</f>
        <v>1450</v>
      </c>
      <c r="P17" s="6">
        <f>Table14[[#This Row],[Gross sales]]-Table14[[#This Row],[Discount_Amount]]</f>
        <v>27550</v>
      </c>
      <c r="Q17" s="6" t="str">
        <f>TEXT(Table14[[#This Row],[Date]],"mmmm")</f>
        <v>January</v>
      </c>
      <c r="R17" s="9" t="str">
        <f>IF(OR(Table14[[#This Row],[Status]]="Pending",Table14[[#This Row],[Status]]="Refunded"),"Review","OK")</f>
        <v>OK</v>
      </c>
      <c r="S17" s="6" t="str">
        <f>IF(Table14[[#This Row],[Net_Sales]]&gt;25000,"High",IF(Table14[[#This Row],[Net_Sales]]&gt;10000,"Medium","Low"))</f>
        <v>High</v>
      </c>
      <c r="T17" s="6" t="b">
        <f>AND(Table14[[#This Row],[Quantity]]&gt;=5,Table14[[#This Row],[Discount_Rate]]&gt;=10%)</f>
        <v>0</v>
      </c>
      <c r="U17" s="6" t="b">
        <f>OR(Table14[[#This Row],[Payment_Method]]="UPI",Table14[[#This Row],[Payment_Method]]="Cash")</f>
        <v>0</v>
      </c>
      <c r="V17" s="6">
        <f>IFERROR(Table14[[#This Row],[Net_Sales]]/Table14[[#This Row],[Quantity]],"ERROR")</f>
        <v>13775</v>
      </c>
      <c r="W17" s="6" t="str">
        <f>PROPER(TRIM(Table14[[#This Row],[Customer_Name]]))</f>
        <v>Indigo Retailers</v>
      </c>
      <c r="X17" s="6" t="str">
        <f>PROPER(TRIM(Table14[[#This Row],[Region]]))</f>
        <v>North</v>
      </c>
      <c r="Y17" s="6">
        <f>YEAR(Table14[[#This Row],[Date]])</f>
        <v>2026</v>
      </c>
      <c r="Z17" s="6">
        <f>MONTH(Table14[[#This Row],[Date]])</f>
        <v>1</v>
      </c>
      <c r="AA17" s="6" t="str">
        <f>MID(Table14[[#This Row],[Transaction_ID]],4,7)</f>
        <v>1009</v>
      </c>
      <c r="AB17" s="6" t="str">
        <f>_xlfn.CONCAT(Table14[[#This Row],[Region]],"-",Table14[[#This Row],[Category]])</f>
        <v>North-Home</v>
      </c>
    </row>
    <row r="18" spans="1:28">
      <c r="A18" s="4" t="s">
        <v>212</v>
      </c>
      <c r="B18" s="5">
        <v>46140</v>
      </c>
      <c r="C18" s="6" t="s">
        <v>31</v>
      </c>
      <c r="D18" s="6" t="s">
        <v>15</v>
      </c>
      <c r="E18" s="6" t="s">
        <v>213</v>
      </c>
      <c r="F18" s="6" t="s">
        <v>17</v>
      </c>
      <c r="G18" s="6" t="s">
        <v>214</v>
      </c>
      <c r="H18" s="6">
        <v>5</v>
      </c>
      <c r="I18" s="7">
        <v>5300</v>
      </c>
      <c r="J18" s="8">
        <v>0.08</v>
      </c>
      <c r="K18" s="6" t="s">
        <v>19</v>
      </c>
      <c r="L18" s="6" t="s">
        <v>20</v>
      </c>
      <c r="M18" s="6" t="s">
        <v>36</v>
      </c>
      <c r="N18" s="6">
        <f>Table14[[#This Row],[Quantity]]*Table14[[#This Row],[Unit_Price_INR]]</f>
        <v>26500</v>
      </c>
      <c r="O18" s="6">
        <f>Table14[[#This Row],[Gross sales]]*Table14[[#This Row],[Discount_Rate]]</f>
        <v>2120</v>
      </c>
      <c r="P18" s="6">
        <f>Table14[[#This Row],[Gross sales]]-Table14[[#This Row],[Discount_Amount]]</f>
        <v>24380</v>
      </c>
      <c r="Q18" s="6" t="str">
        <f>TEXT(Table14[[#This Row],[Date]],"mmmm")</f>
        <v>April</v>
      </c>
      <c r="R18" s="9" t="str">
        <f>IF(OR(Table14[[#This Row],[Status]]="Pending",Table14[[#This Row],[Status]]="Refunded"),"Review","OK")</f>
        <v>OK</v>
      </c>
      <c r="S18" s="6" t="str">
        <f>IF(Table14[[#This Row],[Net_Sales]]&gt;25000,"High",IF(Table14[[#This Row],[Net_Sales]]&gt;10000,"Medium","Low"))</f>
        <v>Medium</v>
      </c>
      <c r="T18" s="6" t="b">
        <f>AND(Table14[[#This Row],[Quantity]]&gt;=5,Table14[[#This Row],[Discount_Rate]]&gt;=10%)</f>
        <v>0</v>
      </c>
      <c r="U18" s="6" t="b">
        <f>OR(Table14[[#This Row],[Payment_Method]]="UPI",Table14[[#This Row],[Payment_Method]]="Cash")</f>
        <v>1</v>
      </c>
      <c r="V18" s="6">
        <f>IFERROR(Table14[[#This Row],[Net_Sales]]/Table14[[#This Row],[Quantity]],"ERROR")</f>
        <v>4876</v>
      </c>
      <c r="W18" s="6" t="str">
        <f>PROPER(TRIM(Table14[[#This Row],[Customer_Name]]))</f>
        <v>Glacier Market</v>
      </c>
      <c r="X18" s="6" t="str">
        <f>PROPER(TRIM(Table14[[#This Row],[Region]]))</f>
        <v>West</v>
      </c>
      <c r="Y18" s="6">
        <f>YEAR(Table14[[#This Row],[Date]])</f>
        <v>2026</v>
      </c>
      <c r="Z18" s="6">
        <f>MONTH(Table14[[#This Row],[Date]])</f>
        <v>4</v>
      </c>
      <c r="AA18" s="6" t="str">
        <f>MID(Table14[[#This Row],[Transaction_ID]],4,7)</f>
        <v>1059</v>
      </c>
      <c r="AB18" s="6" t="str">
        <f>_xlfn.CONCAT(Table14[[#This Row],[Region]],"-",Table14[[#This Row],[Category]])</f>
        <v>West-Electronics</v>
      </c>
    </row>
    <row r="19" spans="1:28">
      <c r="A19" s="4" t="s">
        <v>73</v>
      </c>
      <c r="B19" s="5">
        <v>46041</v>
      </c>
      <c r="C19" s="6" t="s">
        <v>14</v>
      </c>
      <c r="D19" s="6" t="s">
        <v>24</v>
      </c>
      <c r="E19" s="6" t="s">
        <v>74</v>
      </c>
      <c r="F19" s="6" t="s">
        <v>26</v>
      </c>
      <c r="G19" s="6" t="s">
        <v>75</v>
      </c>
      <c r="H19" s="6">
        <v>3</v>
      </c>
      <c r="I19" s="7">
        <v>8900</v>
      </c>
      <c r="J19" s="8">
        <v>0.1</v>
      </c>
      <c r="K19" s="6" t="s">
        <v>28</v>
      </c>
      <c r="L19" s="6" t="s">
        <v>20</v>
      </c>
      <c r="M19" s="6" t="s">
        <v>21</v>
      </c>
      <c r="N19" s="6">
        <f>Table14[[#This Row],[Quantity]]*Table14[[#This Row],[Unit_Price_INR]]</f>
        <v>26700</v>
      </c>
      <c r="O19" s="6">
        <f>Table14[[#This Row],[Gross sales]]*Table14[[#This Row],[Discount_Rate]]</f>
        <v>2670</v>
      </c>
      <c r="P19" s="6">
        <f>Table14[[#This Row],[Gross sales]]-Table14[[#This Row],[Discount_Amount]]</f>
        <v>24030</v>
      </c>
      <c r="Q19" s="6" t="str">
        <f>TEXT(Table14[[#This Row],[Date]],"mmmm")</f>
        <v>January</v>
      </c>
      <c r="R19" s="9" t="str">
        <f>IF(OR(Table14[[#This Row],[Status]]="Pending",Table14[[#This Row],[Status]]="Refunded"),"Review","OK")</f>
        <v>OK</v>
      </c>
      <c r="S19" s="6" t="str">
        <f>IF(Table14[[#This Row],[Net_Sales]]&gt;25000,"High",IF(Table14[[#This Row],[Net_Sales]]&gt;10000,"Medium","Low"))</f>
        <v>Medium</v>
      </c>
      <c r="T19" s="6" t="b">
        <f>AND(Table14[[#This Row],[Quantity]]&gt;=5,Table14[[#This Row],[Discount_Rate]]&gt;=10%)</f>
        <v>0</v>
      </c>
      <c r="U19" s="6" t="b">
        <f>OR(Table14[[#This Row],[Payment_Method]]="UPI",Table14[[#This Row],[Payment_Method]]="Cash")</f>
        <v>0</v>
      </c>
      <c r="V19" s="6">
        <f>IFERROR(Table14[[#This Row],[Net_Sales]]/Table14[[#This Row],[Quantity]],"ERROR")</f>
        <v>8010</v>
      </c>
      <c r="W19" s="6" t="str">
        <f>PROPER(TRIM(Table14[[#This Row],[Customer_Name]]))</f>
        <v>Metro Shop</v>
      </c>
      <c r="X19" s="6" t="str">
        <f>PROPER(TRIM(Table14[[#This Row],[Region]]))</f>
        <v>North</v>
      </c>
      <c r="Y19" s="6">
        <f>YEAR(Table14[[#This Row],[Date]])</f>
        <v>2026</v>
      </c>
      <c r="Z19" s="6">
        <f>MONTH(Table14[[#This Row],[Date]])</f>
        <v>1</v>
      </c>
      <c r="AA19" s="6" t="str">
        <f>MID(Table14[[#This Row],[Transaction_ID]],4,7)</f>
        <v>1013</v>
      </c>
      <c r="AB19" s="6" t="str">
        <f>_xlfn.CONCAT(Table14[[#This Row],[Region]],"-",Table14[[#This Row],[Category]])</f>
        <v>North-Home</v>
      </c>
    </row>
    <row r="20" spans="1:28">
      <c r="A20" s="10" t="s">
        <v>88</v>
      </c>
      <c r="B20" s="11">
        <v>46051</v>
      </c>
      <c r="C20" s="12" t="s">
        <v>23</v>
      </c>
      <c r="D20" s="12" t="s">
        <v>39</v>
      </c>
      <c r="E20" s="12" t="s">
        <v>89</v>
      </c>
      <c r="F20" s="12" t="s">
        <v>26</v>
      </c>
      <c r="G20" s="12" t="s">
        <v>90</v>
      </c>
      <c r="H20" s="12">
        <v>2</v>
      </c>
      <c r="I20" s="13">
        <v>12500</v>
      </c>
      <c r="J20" s="14">
        <v>0.08</v>
      </c>
      <c r="K20" s="12" t="s">
        <v>43</v>
      </c>
      <c r="L20" s="12" t="s">
        <v>56</v>
      </c>
      <c r="M20" s="12" t="s">
        <v>29</v>
      </c>
      <c r="N20" s="6">
        <f>Table14[[#This Row],[Quantity]]*Table14[[#This Row],[Unit_Price_INR]]</f>
        <v>25000</v>
      </c>
      <c r="O20" s="6">
        <f>Table14[[#This Row],[Gross sales]]*Table14[[#This Row],[Discount_Rate]]</f>
        <v>2000</v>
      </c>
      <c r="P20" s="6">
        <f>Table14[[#This Row],[Gross sales]]-Table14[[#This Row],[Discount_Amount]]</f>
        <v>23000</v>
      </c>
      <c r="Q20" s="6" t="str">
        <f>TEXT(Table14[[#This Row],[Date]],"mmmm")</f>
        <v>January</v>
      </c>
      <c r="R20" s="9" t="str">
        <f>IF(OR(Table14[[#This Row],[Status]]="Pending",Table14[[#This Row],[Status]]="Refunded"),"Review","OK")</f>
        <v>Review</v>
      </c>
      <c r="S20" s="6" t="str">
        <f>IF(Table14[[#This Row],[Net_Sales]]&gt;25000,"High",IF(Table14[[#This Row],[Net_Sales]]&gt;10000,"Medium","Low"))</f>
        <v>Medium</v>
      </c>
      <c r="T20" s="6" t="b">
        <f>AND(Table14[[#This Row],[Quantity]]&gt;=5,Table14[[#This Row],[Discount_Rate]]&gt;=10%)</f>
        <v>0</v>
      </c>
      <c r="U20" s="6" t="b">
        <f>OR(Table14[[#This Row],[Payment_Method]]="UPI",Table14[[#This Row],[Payment_Method]]="Cash")</f>
        <v>0</v>
      </c>
      <c r="V20" s="6">
        <f>IFERROR(Table14[[#This Row],[Net_Sales]]/Table14[[#This Row],[Quantity]],"ERROR")</f>
        <v>11500</v>
      </c>
      <c r="W20" s="6" t="str">
        <f>PROPER(TRIM(Table14[[#This Row],[Customer_Name]]))</f>
        <v>Royal Mart</v>
      </c>
      <c r="X20" s="6" t="str">
        <f>PROPER(TRIM(Table14[[#This Row],[Region]]))</f>
        <v>South</v>
      </c>
      <c r="Y20" s="6">
        <f>YEAR(Table14[[#This Row],[Date]])</f>
        <v>2026</v>
      </c>
      <c r="Z20" s="6">
        <f>MONTH(Table14[[#This Row],[Date]])</f>
        <v>1</v>
      </c>
      <c r="AA20" s="6" t="str">
        <f>MID(Table14[[#This Row],[Transaction_ID]],4,7)</f>
        <v>1018</v>
      </c>
      <c r="AB20" s="6" t="str">
        <f>_xlfn.CONCAT(Table14[[#This Row],[Region]],"-",Table14[[#This Row],[Category]])</f>
        <v>South-Home</v>
      </c>
    </row>
    <row r="21" spans="1:28">
      <c r="A21" s="10" t="s">
        <v>197</v>
      </c>
      <c r="B21" s="11">
        <v>46130</v>
      </c>
      <c r="C21" s="12" t="s">
        <v>23</v>
      </c>
      <c r="D21" s="12" t="s">
        <v>39</v>
      </c>
      <c r="E21" s="12" t="s">
        <v>198</v>
      </c>
      <c r="F21" s="12" t="s">
        <v>17</v>
      </c>
      <c r="G21" s="12" t="s">
        <v>199</v>
      </c>
      <c r="H21" s="12">
        <v>10</v>
      </c>
      <c r="I21" s="13">
        <v>2400</v>
      </c>
      <c r="J21" s="14">
        <v>0.06</v>
      </c>
      <c r="K21" s="12" t="s">
        <v>43</v>
      </c>
      <c r="L21" s="12" t="s">
        <v>56</v>
      </c>
      <c r="M21" s="12" t="s">
        <v>29</v>
      </c>
      <c r="N21" s="6">
        <f>Table14[[#This Row],[Quantity]]*Table14[[#This Row],[Unit_Price_INR]]</f>
        <v>24000</v>
      </c>
      <c r="O21" s="6">
        <f>Table14[[#This Row],[Gross sales]]*Table14[[#This Row],[Discount_Rate]]</f>
        <v>1440</v>
      </c>
      <c r="P21" s="6">
        <f>Table14[[#This Row],[Gross sales]]-Table14[[#This Row],[Discount_Amount]]</f>
        <v>22560</v>
      </c>
      <c r="Q21" s="6" t="str">
        <f>TEXT(Table14[[#This Row],[Date]],"mmmm")</f>
        <v>April</v>
      </c>
      <c r="R21" s="9" t="str">
        <f>IF(OR(Table14[[#This Row],[Status]]="Pending",Table14[[#This Row],[Status]]="Refunded"),"Review","OK")</f>
        <v>Review</v>
      </c>
      <c r="S21" s="6" t="str">
        <f>IF(Table14[[#This Row],[Net_Sales]]&gt;25000,"High",IF(Table14[[#This Row],[Net_Sales]]&gt;10000,"Medium","Low"))</f>
        <v>Medium</v>
      </c>
      <c r="T21" s="6" t="b">
        <f>AND(Table14[[#This Row],[Quantity]]&gt;=5,Table14[[#This Row],[Discount_Rate]]&gt;=10%)</f>
        <v>0</v>
      </c>
      <c r="U21" s="6" t="b">
        <f>OR(Table14[[#This Row],[Payment_Method]]="UPI",Table14[[#This Row],[Payment_Method]]="Cash")</f>
        <v>0</v>
      </c>
      <c r="V21" s="6">
        <f>IFERROR(Table14[[#This Row],[Net_Sales]]/Table14[[#This Row],[Quantity]],"ERROR")</f>
        <v>2256</v>
      </c>
      <c r="W21" s="6" t="str">
        <f>PROPER(TRIM(Table14[[#This Row],[Customer_Name]]))</f>
        <v>Beacon Traders</v>
      </c>
      <c r="X21" s="6" t="str">
        <f>PROPER(TRIM(Table14[[#This Row],[Region]]))</f>
        <v>South</v>
      </c>
      <c r="Y21" s="6">
        <f>YEAR(Table14[[#This Row],[Date]])</f>
        <v>2026</v>
      </c>
      <c r="Z21" s="6">
        <f>MONTH(Table14[[#This Row],[Date]])</f>
        <v>4</v>
      </c>
      <c r="AA21" s="6" t="str">
        <f>MID(Table14[[#This Row],[Transaction_ID]],4,7)</f>
        <v>1054</v>
      </c>
      <c r="AB21" s="6" t="str">
        <f>_xlfn.CONCAT(Table14[[#This Row],[Region]],"-",Table14[[#This Row],[Category]])</f>
        <v>South-Electronics</v>
      </c>
    </row>
    <row r="22" spans="1:28">
      <c r="A22" s="10" t="s">
        <v>255</v>
      </c>
      <c r="B22" s="11">
        <v>46166</v>
      </c>
      <c r="C22" s="12" t="s">
        <v>14</v>
      </c>
      <c r="D22" s="12" t="s">
        <v>39</v>
      </c>
      <c r="E22" s="12" t="s">
        <v>256</v>
      </c>
      <c r="F22" s="12" t="s">
        <v>17</v>
      </c>
      <c r="G22" s="12" t="s">
        <v>257</v>
      </c>
      <c r="H22" s="12">
        <v>2</v>
      </c>
      <c r="I22" s="13">
        <v>12500</v>
      </c>
      <c r="J22" s="14">
        <v>0.1</v>
      </c>
      <c r="K22" s="12" t="s">
        <v>43</v>
      </c>
      <c r="L22" s="12" t="s">
        <v>20</v>
      </c>
      <c r="M22" s="12" t="s">
        <v>21</v>
      </c>
      <c r="N22" s="6">
        <f>Table14[[#This Row],[Quantity]]*Table14[[#This Row],[Unit_Price_INR]]</f>
        <v>25000</v>
      </c>
      <c r="O22" s="6">
        <f>Table14[[#This Row],[Gross sales]]*Table14[[#This Row],[Discount_Rate]]</f>
        <v>2500</v>
      </c>
      <c r="P22" s="6">
        <f>Table14[[#This Row],[Gross sales]]-Table14[[#This Row],[Discount_Amount]]</f>
        <v>22500</v>
      </c>
      <c r="Q22" s="6" t="str">
        <f>TEXT(Table14[[#This Row],[Date]],"mmmm")</f>
        <v>May</v>
      </c>
      <c r="R22" s="9" t="str">
        <f>IF(OR(Table14[[#This Row],[Status]]="Pending",Table14[[#This Row],[Status]]="Refunded"),"Review","OK")</f>
        <v>OK</v>
      </c>
      <c r="S22" s="6" t="str">
        <f>IF(Table14[[#This Row],[Net_Sales]]&gt;25000,"High",IF(Table14[[#This Row],[Net_Sales]]&gt;10000,"Medium","Low"))</f>
        <v>Medium</v>
      </c>
      <c r="T22" s="6" t="b">
        <f>AND(Table14[[#This Row],[Quantity]]&gt;=5,Table14[[#This Row],[Discount_Rate]]&gt;=10%)</f>
        <v>0</v>
      </c>
      <c r="U22" s="6" t="b">
        <f>OR(Table14[[#This Row],[Payment_Method]]="UPI",Table14[[#This Row],[Payment_Method]]="Cash")</f>
        <v>0</v>
      </c>
      <c r="V22" s="6">
        <f>IFERROR(Table14[[#This Row],[Net_Sales]]/Table14[[#This Row],[Quantity]],"ERROR")</f>
        <v>11250</v>
      </c>
      <c r="W22" s="6" t="str">
        <f>PROPER(TRIM(Table14[[#This Row],[Customer_Name]]))</f>
        <v>Umber Distributors</v>
      </c>
      <c r="X22" s="6" t="str">
        <f>PROPER(TRIM(Table14[[#This Row],[Region]]))</f>
        <v>North</v>
      </c>
      <c r="Y22" s="6">
        <f>YEAR(Table14[[#This Row],[Date]])</f>
        <v>2026</v>
      </c>
      <c r="Z22" s="6">
        <f>MONTH(Table14[[#This Row],[Date]])</f>
        <v>5</v>
      </c>
      <c r="AA22" s="6" t="str">
        <f>MID(Table14[[#This Row],[Transaction_ID]],4,7)</f>
        <v>1074</v>
      </c>
      <c r="AB22" s="6" t="str">
        <f>_xlfn.CONCAT(Table14[[#This Row],[Region]],"-",Table14[[#This Row],[Category]])</f>
        <v>North-Electronics</v>
      </c>
    </row>
    <row r="23" spans="1:28">
      <c r="A23" s="10" t="s">
        <v>57</v>
      </c>
      <c r="B23" s="11">
        <v>46033</v>
      </c>
      <c r="C23" s="12" t="s">
        <v>38</v>
      </c>
      <c r="D23" s="12" t="s">
        <v>15</v>
      </c>
      <c r="E23" s="12" t="s">
        <v>58</v>
      </c>
      <c r="F23" s="12" t="s">
        <v>41</v>
      </c>
      <c r="G23" s="12" t="s">
        <v>59</v>
      </c>
      <c r="H23" s="12">
        <v>3</v>
      </c>
      <c r="I23" s="13">
        <v>7800</v>
      </c>
      <c r="J23" s="14">
        <v>7.0000000000000007E-2</v>
      </c>
      <c r="K23" s="12" t="s">
        <v>43</v>
      </c>
      <c r="L23" s="12" t="s">
        <v>20</v>
      </c>
      <c r="M23" s="12" t="s">
        <v>44</v>
      </c>
      <c r="N23" s="6">
        <f>Table14[[#This Row],[Quantity]]*Table14[[#This Row],[Unit_Price_INR]]</f>
        <v>23400</v>
      </c>
      <c r="O23" s="6">
        <f>Table14[[#This Row],[Gross sales]]*Table14[[#This Row],[Discount_Rate]]</f>
        <v>1638.0000000000002</v>
      </c>
      <c r="P23" s="6">
        <f>Table14[[#This Row],[Gross sales]]-Table14[[#This Row],[Discount_Amount]]</f>
        <v>21762</v>
      </c>
      <c r="Q23" s="6" t="str">
        <f>TEXT(Table14[[#This Row],[Date]],"mmmm")</f>
        <v>January</v>
      </c>
      <c r="R23" s="9" t="str">
        <f>IF(OR(Table14[[#This Row],[Status]]="Pending",Table14[[#This Row],[Status]]="Refunded"),"Review","OK")</f>
        <v>OK</v>
      </c>
      <c r="S23" s="6" t="str">
        <f>IF(Table14[[#This Row],[Net_Sales]]&gt;25000,"High",IF(Table14[[#This Row],[Net_Sales]]&gt;10000,"Medium","Low"))</f>
        <v>Medium</v>
      </c>
      <c r="T23" s="6" t="b">
        <f>AND(Table14[[#This Row],[Quantity]]&gt;=5,Table14[[#This Row],[Discount_Rate]]&gt;=10%)</f>
        <v>0</v>
      </c>
      <c r="U23" s="6" t="b">
        <f>OR(Table14[[#This Row],[Payment_Method]]="UPI",Table14[[#This Row],[Payment_Method]]="Cash")</f>
        <v>0</v>
      </c>
      <c r="V23" s="6">
        <f>IFERROR(Table14[[#This Row],[Net_Sales]]/Table14[[#This Row],[Quantity]],"ERROR")</f>
        <v>7254</v>
      </c>
      <c r="W23" s="6" t="str">
        <f>PROPER(TRIM(Table14[[#This Row],[Customer_Name]]))</f>
        <v>Harbor Supplies</v>
      </c>
      <c r="X23" s="6" t="str">
        <f>PROPER(TRIM(Table14[[#This Row],[Region]]))</f>
        <v>East</v>
      </c>
      <c r="Y23" s="6">
        <f>YEAR(Table14[[#This Row],[Date]])</f>
        <v>2026</v>
      </c>
      <c r="Z23" s="6">
        <f>MONTH(Table14[[#This Row],[Date]])</f>
        <v>1</v>
      </c>
      <c r="AA23" s="6" t="str">
        <f>MID(Table14[[#This Row],[Transaction_ID]],4,7)</f>
        <v>1008</v>
      </c>
      <c r="AB23" s="6" t="str">
        <f>_xlfn.CONCAT(Table14[[#This Row],[Region]],"-",Table14[[#This Row],[Category]])</f>
        <v>East-Office</v>
      </c>
    </row>
    <row r="24" spans="1:28">
      <c r="A24" s="4" t="s">
        <v>164</v>
      </c>
      <c r="B24" s="5">
        <v>46106</v>
      </c>
      <c r="C24" s="6" t="s">
        <v>31</v>
      </c>
      <c r="D24" s="6" t="s">
        <v>24</v>
      </c>
      <c r="E24" s="6" t="s">
        <v>165</v>
      </c>
      <c r="F24" s="6" t="s">
        <v>26</v>
      </c>
      <c r="G24" s="6" t="s">
        <v>166</v>
      </c>
      <c r="H24" s="6">
        <v>3</v>
      </c>
      <c r="I24" s="7">
        <v>7800</v>
      </c>
      <c r="J24" s="8">
        <v>0.1</v>
      </c>
      <c r="K24" s="6" t="s">
        <v>28</v>
      </c>
      <c r="L24" s="6" t="s">
        <v>20</v>
      </c>
      <c r="M24" s="6" t="s">
        <v>36</v>
      </c>
      <c r="N24" s="6">
        <f>Table14[[#This Row],[Quantity]]*Table14[[#This Row],[Unit_Price_INR]]</f>
        <v>23400</v>
      </c>
      <c r="O24" s="6">
        <f>Table14[[#This Row],[Gross sales]]*Table14[[#This Row],[Discount_Rate]]</f>
        <v>2340</v>
      </c>
      <c r="P24" s="6">
        <f>Table14[[#This Row],[Gross sales]]-Table14[[#This Row],[Discount_Amount]]</f>
        <v>21060</v>
      </c>
      <c r="Q24" s="6" t="str">
        <f>TEXT(Table14[[#This Row],[Date]],"mmmm")</f>
        <v>March</v>
      </c>
      <c r="R24" s="9" t="str">
        <f>IF(OR(Table14[[#This Row],[Status]]="Pending",Table14[[#This Row],[Status]]="Refunded"),"Review","OK")</f>
        <v>OK</v>
      </c>
      <c r="S24" s="6" t="str">
        <f>IF(Table14[[#This Row],[Net_Sales]]&gt;25000,"High",IF(Table14[[#This Row],[Net_Sales]]&gt;10000,"Medium","Low"))</f>
        <v>Medium</v>
      </c>
      <c r="T24" s="6" t="b">
        <f>AND(Table14[[#This Row],[Quantity]]&gt;=5,Table14[[#This Row],[Discount_Rate]]&gt;=10%)</f>
        <v>0</v>
      </c>
      <c r="U24" s="6" t="b">
        <f>OR(Table14[[#This Row],[Payment_Method]]="UPI",Table14[[#This Row],[Payment_Method]]="Cash")</f>
        <v>0</v>
      </c>
      <c r="V24" s="6">
        <f>IFERROR(Table14[[#This Row],[Net_Sales]]/Table14[[#This Row],[Quantity]],"ERROR")</f>
        <v>7020</v>
      </c>
      <c r="W24" s="6" t="str">
        <f>PROPER(TRIM(Table14[[#This Row],[Customer_Name]]))</f>
        <v>Quartz Mart</v>
      </c>
      <c r="X24" s="6" t="str">
        <f>PROPER(TRIM(Table14[[#This Row],[Region]]))</f>
        <v>West</v>
      </c>
      <c r="Y24" s="6">
        <f>YEAR(Table14[[#This Row],[Date]])</f>
        <v>2026</v>
      </c>
      <c r="Z24" s="6">
        <f>MONTH(Table14[[#This Row],[Date]])</f>
        <v>3</v>
      </c>
      <c r="AA24" s="6" t="str">
        <f>MID(Table14[[#This Row],[Transaction_ID]],4,7)</f>
        <v>1043</v>
      </c>
      <c r="AB24" s="6" t="str">
        <f>_xlfn.CONCAT(Table14[[#This Row],[Region]],"-",Table14[[#This Row],[Category]])</f>
        <v>West-Home</v>
      </c>
    </row>
    <row r="25" spans="1:28">
      <c r="A25" s="10" t="s">
        <v>215</v>
      </c>
      <c r="B25" s="11">
        <v>46142</v>
      </c>
      <c r="C25" s="12" t="s">
        <v>38</v>
      </c>
      <c r="D25" s="12" t="s">
        <v>39</v>
      </c>
      <c r="E25" s="12" t="s">
        <v>216</v>
      </c>
      <c r="F25" s="12" t="s">
        <v>41</v>
      </c>
      <c r="G25" s="12" t="s">
        <v>217</v>
      </c>
      <c r="H25" s="12">
        <v>3</v>
      </c>
      <c r="I25" s="13">
        <v>6900</v>
      </c>
      <c r="J25" s="14">
        <v>0.06</v>
      </c>
      <c r="K25" s="12" t="s">
        <v>43</v>
      </c>
      <c r="L25" s="12" t="s">
        <v>20</v>
      </c>
      <c r="M25" s="12" t="s">
        <v>44</v>
      </c>
      <c r="N25" s="6">
        <f>Table14[[#This Row],[Quantity]]*Table14[[#This Row],[Unit_Price_INR]]</f>
        <v>20700</v>
      </c>
      <c r="O25" s="6">
        <f>Table14[[#This Row],[Gross sales]]*Table14[[#This Row],[Discount_Rate]]</f>
        <v>1242</v>
      </c>
      <c r="P25" s="6">
        <f>Table14[[#This Row],[Gross sales]]-Table14[[#This Row],[Discount_Amount]]</f>
        <v>19458</v>
      </c>
      <c r="Q25" s="6" t="str">
        <f>TEXT(Table14[[#This Row],[Date]],"mmmm")</f>
        <v>April</v>
      </c>
      <c r="R25" s="9" t="str">
        <f>IF(OR(Table14[[#This Row],[Status]]="Pending",Table14[[#This Row],[Status]]="Refunded"),"Review","OK")</f>
        <v>OK</v>
      </c>
      <c r="S25" s="6" t="str">
        <f>IF(Table14[[#This Row],[Net_Sales]]&gt;25000,"High",IF(Table14[[#This Row],[Net_Sales]]&gt;10000,"Medium","Low"))</f>
        <v>Medium</v>
      </c>
      <c r="T25" s="6" t="b">
        <f>AND(Table14[[#This Row],[Quantity]]&gt;=5,Table14[[#This Row],[Discount_Rate]]&gt;=10%)</f>
        <v>0</v>
      </c>
      <c r="U25" s="6" t="b">
        <f>OR(Table14[[#This Row],[Payment_Method]]="UPI",Table14[[#This Row],[Payment_Method]]="Cash")</f>
        <v>0</v>
      </c>
      <c r="V25" s="6">
        <f>IFERROR(Table14[[#This Row],[Net_Sales]]/Table14[[#This Row],[Quantity]],"ERROR")</f>
        <v>6486</v>
      </c>
      <c r="W25" s="6" t="str">
        <f>PROPER(TRIM(Table14[[#This Row],[Customer_Name]]))</f>
        <v>Horizon Traders</v>
      </c>
      <c r="X25" s="6" t="str">
        <f>PROPER(TRIM(Table14[[#This Row],[Region]]))</f>
        <v>East</v>
      </c>
      <c r="Y25" s="6">
        <f>YEAR(Table14[[#This Row],[Date]])</f>
        <v>2026</v>
      </c>
      <c r="Z25" s="6">
        <f>MONTH(Table14[[#This Row],[Date]])</f>
        <v>4</v>
      </c>
      <c r="AA25" s="6" t="str">
        <f>MID(Table14[[#This Row],[Transaction_ID]],4,7)</f>
        <v>1060</v>
      </c>
      <c r="AB25" s="6" t="str">
        <f>_xlfn.CONCAT(Table14[[#This Row],[Region]],"-",Table14[[#This Row],[Category]])</f>
        <v>East-Office</v>
      </c>
    </row>
    <row r="26" spans="1:28">
      <c r="A26" s="4" t="s">
        <v>182</v>
      </c>
      <c r="B26" s="5">
        <v>46120</v>
      </c>
      <c r="C26" s="6" t="s">
        <v>14</v>
      </c>
      <c r="D26" s="6" t="s">
        <v>24</v>
      </c>
      <c r="E26" s="6" t="s">
        <v>183</v>
      </c>
      <c r="F26" s="6" t="s">
        <v>17</v>
      </c>
      <c r="G26" s="6" t="s">
        <v>184</v>
      </c>
      <c r="H26" s="6">
        <v>8</v>
      </c>
      <c r="I26" s="7">
        <v>2600</v>
      </c>
      <c r="J26" s="8">
        <v>0.12</v>
      </c>
      <c r="K26" s="6" t="s">
        <v>28</v>
      </c>
      <c r="L26" s="6" t="s">
        <v>20</v>
      </c>
      <c r="M26" s="6" t="s">
        <v>21</v>
      </c>
      <c r="N26" s="6">
        <f>Table14[[#This Row],[Quantity]]*Table14[[#This Row],[Unit_Price_INR]]</f>
        <v>20800</v>
      </c>
      <c r="O26" s="6">
        <f>Table14[[#This Row],[Gross sales]]*Table14[[#This Row],[Discount_Rate]]</f>
        <v>2496</v>
      </c>
      <c r="P26" s="6">
        <f>Table14[[#This Row],[Gross sales]]-Table14[[#This Row],[Discount_Amount]]</f>
        <v>18304</v>
      </c>
      <c r="Q26" s="6" t="str">
        <f>TEXT(Table14[[#This Row],[Date]],"mmmm")</f>
        <v>April</v>
      </c>
      <c r="R26" s="9" t="str">
        <f>IF(OR(Table14[[#This Row],[Status]]="Pending",Table14[[#This Row],[Status]]="Refunded"),"Review","OK")</f>
        <v>OK</v>
      </c>
      <c r="S26" s="6" t="str">
        <f>IF(Table14[[#This Row],[Net_Sales]]&gt;25000,"High",IF(Table14[[#This Row],[Net_Sales]]&gt;10000,"Medium","Low"))</f>
        <v>Medium</v>
      </c>
      <c r="T26" s="6" t="b">
        <f>AND(Table14[[#This Row],[Quantity]]&gt;=5,Table14[[#This Row],[Discount_Rate]]&gt;=10%)</f>
        <v>1</v>
      </c>
      <c r="U26" s="6" t="b">
        <f>OR(Table14[[#This Row],[Payment_Method]]="UPI",Table14[[#This Row],[Payment_Method]]="Cash")</f>
        <v>0</v>
      </c>
      <c r="V26" s="6">
        <f>IFERROR(Table14[[#This Row],[Net_Sales]]/Table14[[#This Row],[Quantity]],"ERROR")</f>
        <v>2288</v>
      </c>
      <c r="W26" s="6" t="str">
        <f>PROPER(TRIM(Table14[[#This Row],[Customer_Name]]))</f>
        <v>Wave Retail</v>
      </c>
      <c r="X26" s="6" t="str">
        <f>PROPER(TRIM(Table14[[#This Row],[Region]]))</f>
        <v>North</v>
      </c>
      <c r="Y26" s="6">
        <f>YEAR(Table14[[#This Row],[Date]])</f>
        <v>2026</v>
      </c>
      <c r="Z26" s="6">
        <f>MONTH(Table14[[#This Row],[Date]])</f>
        <v>4</v>
      </c>
      <c r="AA26" s="6" t="str">
        <f>MID(Table14[[#This Row],[Transaction_ID]],4,7)</f>
        <v>1049</v>
      </c>
      <c r="AB26" s="6" t="str">
        <f>_xlfn.CONCAT(Table14[[#This Row],[Region]],"-",Table14[[#This Row],[Category]])</f>
        <v>North-Electronics</v>
      </c>
    </row>
    <row r="27" spans="1:28">
      <c r="A27" s="10" t="s">
        <v>149</v>
      </c>
      <c r="B27" s="11">
        <v>46095</v>
      </c>
      <c r="C27" s="12" t="s">
        <v>23</v>
      </c>
      <c r="D27" s="12" t="s">
        <v>15</v>
      </c>
      <c r="E27" s="12" t="s">
        <v>150</v>
      </c>
      <c r="F27" s="12" t="s">
        <v>26</v>
      </c>
      <c r="G27" s="12" t="s">
        <v>151</v>
      </c>
      <c r="H27" s="12">
        <v>5</v>
      </c>
      <c r="I27" s="13">
        <v>3500</v>
      </c>
      <c r="J27" s="14">
        <v>7.0000000000000007E-2</v>
      </c>
      <c r="K27" s="12" t="s">
        <v>35</v>
      </c>
      <c r="L27" s="12" t="s">
        <v>20</v>
      </c>
      <c r="M27" s="12" t="s">
        <v>52</v>
      </c>
      <c r="N27" s="6">
        <f>Table14[[#This Row],[Quantity]]*Table14[[#This Row],[Unit_Price_INR]]</f>
        <v>17500</v>
      </c>
      <c r="O27" s="6">
        <f>Table14[[#This Row],[Gross sales]]*Table14[[#This Row],[Discount_Rate]]</f>
        <v>1225.0000000000002</v>
      </c>
      <c r="P27" s="6">
        <f>Table14[[#This Row],[Gross sales]]-Table14[[#This Row],[Discount_Amount]]</f>
        <v>16275</v>
      </c>
      <c r="Q27" s="6" t="str">
        <f>TEXT(Table14[[#This Row],[Date]],"mmmm")</f>
        <v>March</v>
      </c>
      <c r="R27" s="9" t="str">
        <f>IF(OR(Table14[[#This Row],[Status]]="Pending",Table14[[#This Row],[Status]]="Refunded"),"Review","OK")</f>
        <v>OK</v>
      </c>
      <c r="S27" s="6" t="str">
        <f>IF(Table14[[#This Row],[Net_Sales]]&gt;25000,"High",IF(Table14[[#This Row],[Net_Sales]]&gt;10000,"Medium","Low"))</f>
        <v>Medium</v>
      </c>
      <c r="T27" s="6" t="b">
        <f>AND(Table14[[#This Row],[Quantity]]&gt;=5,Table14[[#This Row],[Discount_Rate]]&gt;=10%)</f>
        <v>0</v>
      </c>
      <c r="U27" s="6" t="b">
        <f>OR(Table14[[#This Row],[Payment_Method]]="UPI",Table14[[#This Row],[Payment_Method]]="Cash")</f>
        <v>1</v>
      </c>
      <c r="V27" s="6">
        <f>IFERROR(Table14[[#This Row],[Net_Sales]]/Table14[[#This Row],[Quantity]],"ERROR")</f>
        <v>3255</v>
      </c>
      <c r="W27" s="6" t="str">
        <f>PROPER(TRIM(Table14[[#This Row],[Customer_Name]]))</f>
        <v>Lime Bazaar</v>
      </c>
      <c r="X27" s="6" t="str">
        <f>PROPER(TRIM(Table14[[#This Row],[Region]]))</f>
        <v>South</v>
      </c>
      <c r="Y27" s="6">
        <f>YEAR(Table14[[#This Row],[Date]])</f>
        <v>2026</v>
      </c>
      <c r="Z27" s="6">
        <f>MONTH(Table14[[#This Row],[Date]])</f>
        <v>3</v>
      </c>
      <c r="AA27" s="6" t="str">
        <f>MID(Table14[[#This Row],[Transaction_ID]],4,7)</f>
        <v>1038</v>
      </c>
      <c r="AB27" s="6" t="str">
        <f>_xlfn.CONCAT(Table14[[#This Row],[Region]],"-",Table14[[#This Row],[Category]])</f>
        <v>South-Home</v>
      </c>
    </row>
    <row r="28" spans="1:28">
      <c r="A28" s="10" t="s">
        <v>63</v>
      </c>
      <c r="B28" s="11">
        <v>46036</v>
      </c>
      <c r="C28" s="12" t="s">
        <v>23</v>
      </c>
      <c r="D28" s="12" t="s">
        <v>24</v>
      </c>
      <c r="E28" s="12" t="s">
        <v>64</v>
      </c>
      <c r="F28" s="12" t="s">
        <v>47</v>
      </c>
      <c r="G28" s="12" t="s">
        <v>65</v>
      </c>
      <c r="H28" s="12">
        <v>6</v>
      </c>
      <c r="I28" s="13">
        <v>3200</v>
      </c>
      <c r="J28" s="14">
        <v>0.2</v>
      </c>
      <c r="K28" s="12" t="s">
        <v>19</v>
      </c>
      <c r="L28" s="12" t="s">
        <v>66</v>
      </c>
      <c r="M28" s="12" t="s">
        <v>52</v>
      </c>
      <c r="N28" s="6">
        <f>Table14[[#This Row],[Quantity]]*Table14[[#This Row],[Unit_Price_INR]]</f>
        <v>19200</v>
      </c>
      <c r="O28" s="6">
        <f>Table14[[#This Row],[Gross sales]]*Table14[[#This Row],[Discount_Rate]]</f>
        <v>3840</v>
      </c>
      <c r="P28" s="6">
        <f>Table14[[#This Row],[Gross sales]]-Table14[[#This Row],[Discount_Amount]]</f>
        <v>15360</v>
      </c>
      <c r="Q28" s="6" t="str">
        <f>TEXT(Table14[[#This Row],[Date]],"mmmm")</f>
        <v>January</v>
      </c>
      <c r="R28" s="9" t="str">
        <f>IF(OR(Table14[[#This Row],[Status]]="Pending",Table14[[#This Row],[Status]]="Refunded"),"Review","OK")</f>
        <v>Review</v>
      </c>
      <c r="S28" s="6" t="str">
        <f>IF(Table14[[#This Row],[Net_Sales]]&gt;25000,"High",IF(Table14[[#This Row],[Net_Sales]]&gt;10000,"Medium","Low"))</f>
        <v>Medium</v>
      </c>
      <c r="T28" s="6" t="b">
        <f>AND(Table14[[#This Row],[Quantity]]&gt;=5,Table14[[#This Row],[Discount_Rate]]&gt;=10%)</f>
        <v>1</v>
      </c>
      <c r="U28" s="6" t="b">
        <f>OR(Table14[[#This Row],[Payment_Method]]="UPI",Table14[[#This Row],[Payment_Method]]="Cash")</f>
        <v>1</v>
      </c>
      <c r="V28" s="6">
        <f>IFERROR(Table14[[#This Row],[Net_Sales]]/Table14[[#This Row],[Quantity]],"ERROR")</f>
        <v>2560</v>
      </c>
      <c r="W28" s="6" t="str">
        <f>PROPER(TRIM(Table14[[#This Row],[Customer_Name]]))</f>
        <v>Jasmine Market</v>
      </c>
      <c r="X28" s="6" t="str">
        <f>PROPER(TRIM(Table14[[#This Row],[Region]]))</f>
        <v>South</v>
      </c>
      <c r="Y28" s="6">
        <f>YEAR(Table14[[#This Row],[Date]])</f>
        <v>2026</v>
      </c>
      <c r="Z28" s="6">
        <f>MONTH(Table14[[#This Row],[Date]])</f>
        <v>1</v>
      </c>
      <c r="AA28" s="6" t="str">
        <f>MID(Table14[[#This Row],[Transaction_ID]],4,7)</f>
        <v>1010</v>
      </c>
      <c r="AB28" s="6" t="str">
        <f>_xlfn.CONCAT(Table14[[#This Row],[Region]],"-",Table14[[#This Row],[Category]])</f>
        <v>South-Fashion</v>
      </c>
    </row>
    <row r="29" spans="1:28">
      <c r="A29" s="4" t="s">
        <v>140</v>
      </c>
      <c r="B29" s="5">
        <v>46089</v>
      </c>
      <c r="C29" s="6" t="s">
        <v>31</v>
      </c>
      <c r="D29" s="6" t="s">
        <v>15</v>
      </c>
      <c r="E29" s="6" t="s">
        <v>141</v>
      </c>
      <c r="F29" s="6" t="s">
        <v>47</v>
      </c>
      <c r="G29" s="6" t="s">
        <v>142</v>
      </c>
      <c r="H29" s="6">
        <v>4</v>
      </c>
      <c r="I29" s="7">
        <v>4200</v>
      </c>
      <c r="J29" s="8">
        <v>0.1</v>
      </c>
      <c r="K29" s="6" t="s">
        <v>19</v>
      </c>
      <c r="L29" s="6" t="s">
        <v>56</v>
      </c>
      <c r="M29" s="6" t="s">
        <v>36</v>
      </c>
      <c r="N29" s="6">
        <f>Table14[[#This Row],[Quantity]]*Table14[[#This Row],[Unit_Price_INR]]</f>
        <v>16800</v>
      </c>
      <c r="O29" s="6">
        <f>Table14[[#This Row],[Gross sales]]*Table14[[#This Row],[Discount_Rate]]</f>
        <v>1680</v>
      </c>
      <c r="P29" s="6">
        <f>Table14[[#This Row],[Gross sales]]-Table14[[#This Row],[Discount_Amount]]</f>
        <v>15120</v>
      </c>
      <c r="Q29" s="6" t="str">
        <f>TEXT(Table14[[#This Row],[Date]],"mmmm")</f>
        <v>March</v>
      </c>
      <c r="R29" s="9" t="str">
        <f>IF(OR(Table14[[#This Row],[Status]]="Pending",Table14[[#This Row],[Status]]="Refunded"),"Review","OK")</f>
        <v>Review</v>
      </c>
      <c r="S29" s="6" t="str">
        <f>IF(Table14[[#This Row],[Net_Sales]]&gt;25000,"High",IF(Table14[[#This Row],[Net_Sales]]&gt;10000,"Medium","Low"))</f>
        <v>Medium</v>
      </c>
      <c r="T29" s="6" t="b">
        <f>AND(Table14[[#This Row],[Quantity]]&gt;=5,Table14[[#This Row],[Discount_Rate]]&gt;=10%)</f>
        <v>0</v>
      </c>
      <c r="U29" s="6" t="b">
        <f>OR(Table14[[#This Row],[Payment_Method]]="UPI",Table14[[#This Row],[Payment_Method]]="Cash")</f>
        <v>1</v>
      </c>
      <c r="V29" s="6">
        <f>IFERROR(Table14[[#This Row],[Net_Sales]]/Table14[[#This Row],[Quantity]],"ERROR")</f>
        <v>3780</v>
      </c>
      <c r="W29" s="6" t="str">
        <f>PROPER(TRIM(Table14[[#This Row],[Customer_Name]]))</f>
        <v>Ivory Market</v>
      </c>
      <c r="X29" s="6" t="str">
        <f>PROPER(TRIM(Table14[[#This Row],[Region]]))</f>
        <v>West</v>
      </c>
      <c r="Y29" s="6">
        <f>YEAR(Table14[[#This Row],[Date]])</f>
        <v>2026</v>
      </c>
      <c r="Z29" s="6">
        <f>MONTH(Table14[[#This Row],[Date]])</f>
        <v>3</v>
      </c>
      <c r="AA29" s="6" t="str">
        <f>MID(Table14[[#This Row],[Transaction_ID]],4,7)</f>
        <v>1035</v>
      </c>
      <c r="AB29" s="6" t="str">
        <f>_xlfn.CONCAT(Table14[[#This Row],[Region]],"-",Table14[[#This Row],[Category]])</f>
        <v>West-Fashion</v>
      </c>
    </row>
    <row r="30" spans="1:28">
      <c r="A30" s="10" t="s">
        <v>243</v>
      </c>
      <c r="B30" s="11">
        <v>46158</v>
      </c>
      <c r="C30" s="12" t="s">
        <v>14</v>
      </c>
      <c r="D30" s="12" t="s">
        <v>24</v>
      </c>
      <c r="E30" s="12" t="s">
        <v>244</v>
      </c>
      <c r="F30" s="12" t="s">
        <v>17</v>
      </c>
      <c r="G30" s="12" t="s">
        <v>245</v>
      </c>
      <c r="H30" s="12">
        <v>4</v>
      </c>
      <c r="I30" s="13">
        <v>3900</v>
      </c>
      <c r="J30" s="14">
        <v>0.06</v>
      </c>
      <c r="K30" s="12" t="s">
        <v>28</v>
      </c>
      <c r="L30" s="12" t="s">
        <v>20</v>
      </c>
      <c r="M30" s="12" t="s">
        <v>21</v>
      </c>
      <c r="N30" s="6">
        <f>Table14[[#This Row],[Quantity]]*Table14[[#This Row],[Unit_Price_INR]]</f>
        <v>15600</v>
      </c>
      <c r="O30" s="6">
        <f>Table14[[#This Row],[Gross sales]]*Table14[[#This Row],[Discount_Rate]]</f>
        <v>936</v>
      </c>
      <c r="P30" s="6">
        <f>Table14[[#This Row],[Gross sales]]-Table14[[#This Row],[Discount_Amount]]</f>
        <v>14664</v>
      </c>
      <c r="Q30" s="6" t="str">
        <f>TEXT(Table14[[#This Row],[Date]],"mmmm")</f>
        <v>May</v>
      </c>
      <c r="R30" s="9" t="str">
        <f>IF(OR(Table14[[#This Row],[Status]]="Pending",Table14[[#This Row],[Status]]="Refunded"),"Review","OK")</f>
        <v>OK</v>
      </c>
      <c r="S30" s="6" t="str">
        <f>IF(Table14[[#This Row],[Net_Sales]]&gt;25000,"High",IF(Table14[[#This Row],[Net_Sales]]&gt;10000,"Medium","Low"))</f>
        <v>Medium</v>
      </c>
      <c r="T30" s="6" t="b">
        <f>AND(Table14[[#This Row],[Quantity]]&gt;=5,Table14[[#This Row],[Discount_Rate]]&gt;=10%)</f>
        <v>0</v>
      </c>
      <c r="U30" s="6" t="b">
        <f>OR(Table14[[#This Row],[Payment_Method]]="UPI",Table14[[#This Row],[Payment_Method]]="Cash")</f>
        <v>0</v>
      </c>
      <c r="V30" s="6">
        <f>IFERROR(Table14[[#This Row],[Net_Sales]]/Table14[[#This Row],[Quantity]],"ERROR")</f>
        <v>3666</v>
      </c>
      <c r="W30" s="6" t="str">
        <f>PROPER(TRIM(Table14[[#This Row],[Customer_Name]]))</f>
        <v>Quartz Retail</v>
      </c>
      <c r="X30" s="6" t="str">
        <f>PROPER(TRIM(Table14[[#This Row],[Region]]))</f>
        <v>North</v>
      </c>
      <c r="Y30" s="6">
        <f>YEAR(Table14[[#This Row],[Date]])</f>
        <v>2026</v>
      </c>
      <c r="Z30" s="6">
        <f>MONTH(Table14[[#This Row],[Date]])</f>
        <v>5</v>
      </c>
      <c r="AA30" s="6" t="str">
        <f>MID(Table14[[#This Row],[Transaction_ID]],4,7)</f>
        <v>1070</v>
      </c>
      <c r="AB30" s="6" t="str">
        <f>_xlfn.CONCAT(Table14[[#This Row],[Region]],"-",Table14[[#This Row],[Category]])</f>
        <v>North-Electronics</v>
      </c>
    </row>
    <row r="31" spans="1:28">
      <c r="A31" s="4" t="s">
        <v>122</v>
      </c>
      <c r="B31" s="5">
        <v>46073</v>
      </c>
      <c r="C31" s="6" t="s">
        <v>14</v>
      </c>
      <c r="D31" s="6" t="s">
        <v>15</v>
      </c>
      <c r="E31" s="6" t="s">
        <v>123</v>
      </c>
      <c r="F31" s="6" t="s">
        <v>17</v>
      </c>
      <c r="G31" s="6" t="s">
        <v>124</v>
      </c>
      <c r="H31" s="6">
        <v>14</v>
      </c>
      <c r="I31" s="7">
        <v>1100</v>
      </c>
      <c r="J31" s="8">
        <v>0.05</v>
      </c>
      <c r="K31" s="6" t="s">
        <v>28</v>
      </c>
      <c r="L31" s="6" t="s">
        <v>20</v>
      </c>
      <c r="M31" s="6" t="s">
        <v>21</v>
      </c>
      <c r="N31" s="6">
        <f>Table14[[#This Row],[Quantity]]*Table14[[#This Row],[Unit_Price_INR]]</f>
        <v>15400</v>
      </c>
      <c r="O31" s="6">
        <f>Table14[[#This Row],[Gross sales]]*Table14[[#This Row],[Discount_Rate]]</f>
        <v>770</v>
      </c>
      <c r="P31" s="6">
        <f>Table14[[#This Row],[Gross sales]]-Table14[[#This Row],[Discount_Amount]]</f>
        <v>14630</v>
      </c>
      <c r="Q31" s="6" t="str">
        <f>TEXT(Table14[[#This Row],[Date]],"mmmm")</f>
        <v>February</v>
      </c>
      <c r="R31" s="9" t="str">
        <f>IF(OR(Table14[[#This Row],[Status]]="Pending",Table14[[#This Row],[Status]]="Refunded"),"Review","OK")</f>
        <v>OK</v>
      </c>
      <c r="S31" s="6" t="str">
        <f>IF(Table14[[#This Row],[Net_Sales]]&gt;25000,"High",IF(Table14[[#This Row],[Net_Sales]]&gt;10000,"Medium","Low"))</f>
        <v>Medium</v>
      </c>
      <c r="T31" s="6" t="b">
        <f>AND(Table14[[#This Row],[Quantity]]&gt;=5,Table14[[#This Row],[Discount_Rate]]&gt;=10%)</f>
        <v>0</v>
      </c>
      <c r="U31" s="6" t="b">
        <f>OR(Table14[[#This Row],[Payment_Method]]="UPI",Table14[[#This Row],[Payment_Method]]="Cash")</f>
        <v>0</v>
      </c>
      <c r="V31" s="6">
        <f>IFERROR(Table14[[#This Row],[Net_Sales]]/Table14[[#This Row],[Quantity]],"ERROR")</f>
        <v>1045</v>
      </c>
      <c r="W31" s="6" t="str">
        <f>PROPER(TRIM(Table14[[#This Row],[Customer_Name]]))</f>
        <v>Coral Market</v>
      </c>
      <c r="X31" s="6" t="str">
        <f>PROPER(TRIM(Table14[[#This Row],[Region]]))</f>
        <v>North</v>
      </c>
      <c r="Y31" s="6">
        <f>YEAR(Table14[[#This Row],[Date]])</f>
        <v>2026</v>
      </c>
      <c r="Z31" s="6">
        <f>MONTH(Table14[[#This Row],[Date]])</f>
        <v>2</v>
      </c>
      <c r="AA31" s="6" t="str">
        <f>MID(Table14[[#This Row],[Transaction_ID]],4,7)</f>
        <v>1029</v>
      </c>
      <c r="AB31" s="6" t="str">
        <f>_xlfn.CONCAT(Table14[[#This Row],[Region]],"-",Table14[[#This Row],[Category]])</f>
        <v>North-Electronics</v>
      </c>
    </row>
    <row r="32" spans="1:28">
      <c r="A32" s="10" t="s">
        <v>119</v>
      </c>
      <c r="B32" s="11">
        <v>46071</v>
      </c>
      <c r="C32" s="12" t="s">
        <v>38</v>
      </c>
      <c r="D32" s="12" t="s">
        <v>24</v>
      </c>
      <c r="E32" s="12" t="s">
        <v>120</v>
      </c>
      <c r="F32" s="12" t="s">
        <v>26</v>
      </c>
      <c r="G32" s="12" t="s">
        <v>121</v>
      </c>
      <c r="H32" s="12">
        <v>6</v>
      </c>
      <c r="I32" s="13">
        <v>2600</v>
      </c>
      <c r="J32" s="14">
        <v>0.08</v>
      </c>
      <c r="K32" s="12" t="s">
        <v>19</v>
      </c>
      <c r="L32" s="12" t="s">
        <v>20</v>
      </c>
      <c r="M32" s="12" t="s">
        <v>44</v>
      </c>
      <c r="N32" s="6">
        <f>Table14[[#This Row],[Quantity]]*Table14[[#This Row],[Unit_Price_INR]]</f>
        <v>15600</v>
      </c>
      <c r="O32" s="6">
        <f>Table14[[#This Row],[Gross sales]]*Table14[[#This Row],[Discount_Rate]]</f>
        <v>1248</v>
      </c>
      <c r="P32" s="6">
        <f>Table14[[#This Row],[Gross sales]]-Table14[[#This Row],[Discount_Amount]]</f>
        <v>14352</v>
      </c>
      <c r="Q32" s="6" t="str">
        <f>TEXT(Table14[[#This Row],[Date]],"mmmm")</f>
        <v>February</v>
      </c>
      <c r="R32" s="9" t="str">
        <f>IF(OR(Table14[[#This Row],[Status]]="Pending",Table14[[#This Row],[Status]]="Refunded"),"Review","OK")</f>
        <v>OK</v>
      </c>
      <c r="S32" s="6" t="str">
        <f>IF(Table14[[#This Row],[Net_Sales]]&gt;25000,"High",IF(Table14[[#This Row],[Net_Sales]]&gt;10000,"Medium","Low"))</f>
        <v>Medium</v>
      </c>
      <c r="T32" s="6" t="b">
        <f>AND(Table14[[#This Row],[Quantity]]&gt;=5,Table14[[#This Row],[Discount_Rate]]&gt;=10%)</f>
        <v>0</v>
      </c>
      <c r="U32" s="6" t="b">
        <f>OR(Table14[[#This Row],[Payment_Method]]="UPI",Table14[[#This Row],[Payment_Method]]="Cash")</f>
        <v>1</v>
      </c>
      <c r="V32" s="6">
        <f>IFERROR(Table14[[#This Row],[Net_Sales]]/Table14[[#This Row],[Quantity]],"ERROR")</f>
        <v>2392</v>
      </c>
      <c r="W32" s="6" t="str">
        <f>PROPER(TRIM(Table14[[#This Row],[Customer_Name]]))</f>
        <v>Bluebird Store</v>
      </c>
      <c r="X32" s="6" t="str">
        <f>PROPER(TRIM(Table14[[#This Row],[Region]]))</f>
        <v>East</v>
      </c>
      <c r="Y32" s="6">
        <f>YEAR(Table14[[#This Row],[Date]])</f>
        <v>2026</v>
      </c>
      <c r="Z32" s="6">
        <f>MONTH(Table14[[#This Row],[Date]])</f>
        <v>2</v>
      </c>
      <c r="AA32" s="6" t="str">
        <f>MID(Table14[[#This Row],[Transaction_ID]],4,7)</f>
        <v>1028</v>
      </c>
      <c r="AB32" s="6" t="str">
        <f>_xlfn.CONCAT(Table14[[#This Row],[Region]],"-",Table14[[#This Row],[Category]])</f>
        <v>East-Home</v>
      </c>
    </row>
    <row r="33" spans="1:28">
      <c r="A33" s="4" t="s">
        <v>194</v>
      </c>
      <c r="B33" s="5">
        <v>46128</v>
      </c>
      <c r="C33" s="6" t="s">
        <v>14</v>
      </c>
      <c r="D33" s="6" t="s">
        <v>15</v>
      </c>
      <c r="E33" s="6" t="s">
        <v>195</v>
      </c>
      <c r="F33" s="6" t="s">
        <v>26</v>
      </c>
      <c r="G33" s="6" t="s">
        <v>196</v>
      </c>
      <c r="H33" s="6">
        <v>4</v>
      </c>
      <c r="I33" s="7">
        <v>3900</v>
      </c>
      <c r="J33" s="8">
        <v>0.08</v>
      </c>
      <c r="K33" s="6" t="s">
        <v>28</v>
      </c>
      <c r="L33" s="6" t="s">
        <v>20</v>
      </c>
      <c r="M33" s="6" t="s">
        <v>21</v>
      </c>
      <c r="N33" s="6">
        <f>Table14[[#This Row],[Quantity]]*Table14[[#This Row],[Unit_Price_INR]]</f>
        <v>15600</v>
      </c>
      <c r="O33" s="6">
        <f>Table14[[#This Row],[Gross sales]]*Table14[[#This Row],[Discount_Rate]]</f>
        <v>1248</v>
      </c>
      <c r="P33" s="6">
        <f>Table14[[#This Row],[Gross sales]]-Table14[[#This Row],[Discount_Amount]]</f>
        <v>14352</v>
      </c>
      <c r="Q33" s="6" t="str">
        <f>TEXT(Table14[[#This Row],[Date]],"mmmm")</f>
        <v>April</v>
      </c>
      <c r="R33" s="9" t="str">
        <f>IF(OR(Table14[[#This Row],[Status]]="Pending",Table14[[#This Row],[Status]]="Refunded"),"Review","OK")</f>
        <v>OK</v>
      </c>
      <c r="S33" s="6" t="str">
        <f>IF(Table14[[#This Row],[Net_Sales]]&gt;25000,"High",IF(Table14[[#This Row],[Net_Sales]]&gt;10000,"Medium","Low"))</f>
        <v>Medium</v>
      </c>
      <c r="T33" s="6" t="b">
        <f>AND(Table14[[#This Row],[Quantity]]&gt;=5,Table14[[#This Row],[Discount_Rate]]&gt;=10%)</f>
        <v>0</v>
      </c>
      <c r="U33" s="6" t="b">
        <f>OR(Table14[[#This Row],[Payment_Method]]="UPI",Table14[[#This Row],[Payment_Method]]="Cash")</f>
        <v>0</v>
      </c>
      <c r="V33" s="6">
        <f>IFERROR(Table14[[#This Row],[Net_Sales]]/Table14[[#This Row],[Quantity]],"ERROR")</f>
        <v>3588</v>
      </c>
      <c r="W33" s="6" t="str">
        <f>PROPER(TRIM(Table14[[#This Row],[Customer_Name]]))</f>
        <v>Amber Mart</v>
      </c>
      <c r="X33" s="6" t="str">
        <f>PROPER(TRIM(Table14[[#This Row],[Region]]))</f>
        <v>North</v>
      </c>
      <c r="Y33" s="6">
        <f>YEAR(Table14[[#This Row],[Date]])</f>
        <v>2026</v>
      </c>
      <c r="Z33" s="6">
        <f>MONTH(Table14[[#This Row],[Date]])</f>
        <v>4</v>
      </c>
      <c r="AA33" s="6" t="str">
        <f>MID(Table14[[#This Row],[Transaction_ID]],4,7)</f>
        <v>1053</v>
      </c>
      <c r="AB33" s="6" t="str">
        <f>_xlfn.CONCAT(Table14[[#This Row],[Region]],"-",Table14[[#This Row],[Category]])</f>
        <v>North-Home</v>
      </c>
    </row>
    <row r="34" spans="1:28">
      <c r="A34" s="4" t="s">
        <v>206</v>
      </c>
      <c r="B34" s="5">
        <v>46136</v>
      </c>
      <c r="C34" s="6" t="s">
        <v>14</v>
      </c>
      <c r="D34" s="6" t="s">
        <v>39</v>
      </c>
      <c r="E34" s="6" t="s">
        <v>207</v>
      </c>
      <c r="F34" s="6" t="s">
        <v>33</v>
      </c>
      <c r="G34" s="6" t="s">
        <v>208</v>
      </c>
      <c r="H34" s="6">
        <v>16</v>
      </c>
      <c r="I34" s="7">
        <v>880</v>
      </c>
      <c r="J34" s="8">
        <v>0.02</v>
      </c>
      <c r="K34" s="6" t="s">
        <v>43</v>
      </c>
      <c r="L34" s="6" t="s">
        <v>20</v>
      </c>
      <c r="M34" s="6" t="s">
        <v>21</v>
      </c>
      <c r="N34" s="6">
        <f>Table14[[#This Row],[Quantity]]*Table14[[#This Row],[Unit_Price_INR]]</f>
        <v>14080</v>
      </c>
      <c r="O34" s="6">
        <f>Table14[[#This Row],[Gross sales]]*Table14[[#This Row],[Discount_Rate]]</f>
        <v>281.60000000000002</v>
      </c>
      <c r="P34" s="6">
        <f>Table14[[#This Row],[Gross sales]]-Table14[[#This Row],[Discount_Amount]]</f>
        <v>13798.4</v>
      </c>
      <c r="Q34" s="6" t="str">
        <f>TEXT(Table14[[#This Row],[Date]],"mmmm")</f>
        <v>April</v>
      </c>
      <c r="R34" s="9" t="str">
        <f>IF(OR(Table14[[#This Row],[Status]]="Pending",Table14[[#This Row],[Status]]="Refunded"),"Review","OK")</f>
        <v>OK</v>
      </c>
      <c r="S34" s="6" t="str">
        <f>IF(Table14[[#This Row],[Net_Sales]]&gt;25000,"High",IF(Table14[[#This Row],[Net_Sales]]&gt;10000,"Medium","Low"))</f>
        <v>Medium</v>
      </c>
      <c r="T34" s="6" t="b">
        <f>AND(Table14[[#This Row],[Quantity]]&gt;=5,Table14[[#This Row],[Discount_Rate]]&gt;=10%)</f>
        <v>0</v>
      </c>
      <c r="U34" s="6" t="b">
        <f>OR(Table14[[#This Row],[Payment_Method]]="UPI",Table14[[#This Row],[Payment_Method]]="Cash")</f>
        <v>0</v>
      </c>
      <c r="V34" s="6">
        <f>IFERROR(Table14[[#This Row],[Net_Sales]]/Table14[[#This Row],[Quantity]],"ERROR")</f>
        <v>862.4</v>
      </c>
      <c r="W34" s="6" t="str">
        <f>PROPER(TRIM(Table14[[#This Row],[Customer_Name]]))</f>
        <v>Ember Distributors</v>
      </c>
      <c r="X34" s="6" t="str">
        <f>PROPER(TRIM(Table14[[#This Row],[Region]]))</f>
        <v>North</v>
      </c>
      <c r="Y34" s="6">
        <f>YEAR(Table14[[#This Row],[Date]])</f>
        <v>2026</v>
      </c>
      <c r="Z34" s="6">
        <f>MONTH(Table14[[#This Row],[Date]])</f>
        <v>4</v>
      </c>
      <c r="AA34" s="6" t="str">
        <f>MID(Table14[[#This Row],[Transaction_ID]],4,7)</f>
        <v>1057</v>
      </c>
      <c r="AB34" s="6" t="str">
        <f>_xlfn.CONCAT(Table14[[#This Row],[Region]],"-",Table14[[#This Row],[Category]])</f>
        <v>North-Grocery</v>
      </c>
    </row>
    <row r="35" spans="1:28">
      <c r="A35" s="10" t="s">
        <v>137</v>
      </c>
      <c r="B35" s="11">
        <v>46087</v>
      </c>
      <c r="C35" s="12" t="s">
        <v>23</v>
      </c>
      <c r="D35" s="12" t="s">
        <v>24</v>
      </c>
      <c r="E35" s="12" t="s">
        <v>138</v>
      </c>
      <c r="F35" s="12" t="s">
        <v>41</v>
      </c>
      <c r="G35" s="12" t="s">
        <v>139</v>
      </c>
      <c r="H35" s="12">
        <v>10</v>
      </c>
      <c r="I35" s="13">
        <v>1450</v>
      </c>
      <c r="J35" s="14">
        <v>0.05</v>
      </c>
      <c r="K35" s="12" t="s">
        <v>28</v>
      </c>
      <c r="L35" s="12" t="s">
        <v>20</v>
      </c>
      <c r="M35" s="12" t="s">
        <v>52</v>
      </c>
      <c r="N35" s="6">
        <f>Table14[[#This Row],[Quantity]]*Table14[[#This Row],[Unit_Price_INR]]</f>
        <v>14500</v>
      </c>
      <c r="O35" s="6">
        <f>Table14[[#This Row],[Gross sales]]*Table14[[#This Row],[Discount_Rate]]</f>
        <v>725</v>
      </c>
      <c r="P35" s="6">
        <f>Table14[[#This Row],[Gross sales]]-Table14[[#This Row],[Discount_Amount]]</f>
        <v>13775</v>
      </c>
      <c r="Q35" s="6" t="str">
        <f>TEXT(Table14[[#This Row],[Date]],"mmmm")</f>
        <v>March</v>
      </c>
      <c r="R35" s="9" t="str">
        <f>IF(OR(Table14[[#This Row],[Status]]="Pending",Table14[[#This Row],[Status]]="Refunded"),"Review","OK")</f>
        <v>OK</v>
      </c>
      <c r="S35" s="6" t="str">
        <f>IF(Table14[[#This Row],[Net_Sales]]&gt;25000,"High",IF(Table14[[#This Row],[Net_Sales]]&gt;10000,"Medium","Low"))</f>
        <v>Medium</v>
      </c>
      <c r="T35" s="6" t="b">
        <f>AND(Table14[[#This Row],[Quantity]]&gt;=5,Table14[[#This Row],[Discount_Rate]]&gt;=10%)</f>
        <v>0</v>
      </c>
      <c r="U35" s="6" t="b">
        <f>OR(Table14[[#This Row],[Payment_Method]]="UPI",Table14[[#This Row],[Payment_Method]]="Cash")</f>
        <v>0</v>
      </c>
      <c r="V35" s="6">
        <f>IFERROR(Table14[[#This Row],[Net_Sales]]/Table14[[#This Row],[Quantity]],"ERROR")</f>
        <v>1377.5</v>
      </c>
      <c r="W35" s="6" t="str">
        <f>PROPER(TRIM(Table14[[#This Row],[Customer_Name]]))</f>
        <v>Hilltop Shop</v>
      </c>
      <c r="X35" s="6" t="str">
        <f>PROPER(TRIM(Table14[[#This Row],[Region]]))</f>
        <v>South</v>
      </c>
      <c r="Y35" s="6">
        <f>YEAR(Table14[[#This Row],[Date]])</f>
        <v>2026</v>
      </c>
      <c r="Z35" s="6">
        <f>MONTH(Table14[[#This Row],[Date]])</f>
        <v>3</v>
      </c>
      <c r="AA35" s="6" t="str">
        <f>MID(Table14[[#This Row],[Transaction_ID]],4,7)</f>
        <v>1034</v>
      </c>
      <c r="AB35" s="6" t="str">
        <f>_xlfn.CONCAT(Table14[[#This Row],[Region]],"-",Table14[[#This Row],[Category]])</f>
        <v>South-Office</v>
      </c>
    </row>
    <row r="36" spans="1:28">
      <c r="A36" s="10" t="s">
        <v>106</v>
      </c>
      <c r="B36" s="11">
        <v>46063</v>
      </c>
      <c r="C36" s="12" t="s">
        <v>38</v>
      </c>
      <c r="D36" s="12" t="s">
        <v>39</v>
      </c>
      <c r="E36" s="12" t="s">
        <v>107</v>
      </c>
      <c r="F36" s="12" t="s">
        <v>17</v>
      </c>
      <c r="G36" s="12" t="s">
        <v>108</v>
      </c>
      <c r="H36" s="12">
        <v>15</v>
      </c>
      <c r="I36" s="13">
        <v>950</v>
      </c>
      <c r="J36" s="14">
        <v>0.04</v>
      </c>
      <c r="K36" s="12" t="s">
        <v>43</v>
      </c>
      <c r="L36" s="12" t="s">
        <v>20</v>
      </c>
      <c r="M36" s="12" t="s">
        <v>44</v>
      </c>
      <c r="N36" s="6">
        <f>Table14[[#This Row],[Quantity]]*Table14[[#This Row],[Unit_Price_INR]]</f>
        <v>14250</v>
      </c>
      <c r="O36" s="6">
        <f>Table14[[#This Row],[Gross sales]]*Table14[[#This Row],[Discount_Rate]]</f>
        <v>570</v>
      </c>
      <c r="P36" s="6">
        <f>Table14[[#This Row],[Gross sales]]-Table14[[#This Row],[Discount_Amount]]</f>
        <v>13680</v>
      </c>
      <c r="Q36" s="6" t="str">
        <f>TEXT(Table14[[#This Row],[Date]],"mmmm")</f>
        <v>February</v>
      </c>
      <c r="R36" s="9" t="str">
        <f>IF(OR(Table14[[#This Row],[Status]]="Pending",Table14[[#This Row],[Status]]="Refunded"),"Review","OK")</f>
        <v>OK</v>
      </c>
      <c r="S36" s="6" t="str">
        <f>IF(Table14[[#This Row],[Net_Sales]]&gt;25000,"High",IF(Table14[[#This Row],[Net_Sales]]&gt;10000,"Medium","Low"))</f>
        <v>Medium</v>
      </c>
      <c r="T36" s="6" t="b">
        <f>AND(Table14[[#This Row],[Quantity]]&gt;=5,Table14[[#This Row],[Discount_Rate]]&gt;=10%)</f>
        <v>0</v>
      </c>
      <c r="U36" s="6" t="b">
        <f>OR(Table14[[#This Row],[Payment_Method]]="UPI",Table14[[#This Row],[Payment_Method]]="Cash")</f>
        <v>0</v>
      </c>
      <c r="V36" s="6">
        <f>IFERROR(Table14[[#This Row],[Net_Sales]]/Table14[[#This Row],[Quantity]],"ERROR")</f>
        <v>912</v>
      </c>
      <c r="W36" s="6" t="str">
        <f>PROPER(TRIM(Table14[[#This Row],[Customer_Name]]))</f>
        <v>Xpress Distributors</v>
      </c>
      <c r="X36" s="6" t="str">
        <f>PROPER(TRIM(Table14[[#This Row],[Region]]))</f>
        <v>East</v>
      </c>
      <c r="Y36" s="6">
        <f>YEAR(Table14[[#This Row],[Date]])</f>
        <v>2026</v>
      </c>
      <c r="Z36" s="6">
        <f>MONTH(Table14[[#This Row],[Date]])</f>
        <v>2</v>
      </c>
      <c r="AA36" s="6" t="str">
        <f>MID(Table14[[#This Row],[Transaction_ID]],4,7)</f>
        <v>1024</v>
      </c>
      <c r="AB36" s="6" t="str">
        <f>_xlfn.CONCAT(Table14[[#This Row],[Region]],"-",Table14[[#This Row],[Category]])</f>
        <v>East-Electronics</v>
      </c>
    </row>
    <row r="37" spans="1:28">
      <c r="A37" s="4" t="s">
        <v>188</v>
      </c>
      <c r="B37" s="5">
        <v>46124</v>
      </c>
      <c r="C37" s="6" t="s">
        <v>31</v>
      </c>
      <c r="D37" s="6" t="s">
        <v>39</v>
      </c>
      <c r="E37" s="6" t="s">
        <v>189</v>
      </c>
      <c r="F37" s="6" t="s">
        <v>47</v>
      </c>
      <c r="G37" s="6" t="s">
        <v>190</v>
      </c>
      <c r="H37" s="6">
        <v>4</v>
      </c>
      <c r="I37" s="7">
        <v>3600</v>
      </c>
      <c r="J37" s="8">
        <v>0.05</v>
      </c>
      <c r="K37" s="6" t="s">
        <v>43</v>
      </c>
      <c r="L37" s="6" t="s">
        <v>20</v>
      </c>
      <c r="M37" s="6" t="s">
        <v>36</v>
      </c>
      <c r="N37" s="6">
        <f>Table14[[#This Row],[Quantity]]*Table14[[#This Row],[Unit_Price_INR]]</f>
        <v>14400</v>
      </c>
      <c r="O37" s="6">
        <f>Table14[[#This Row],[Gross sales]]*Table14[[#This Row],[Discount_Rate]]</f>
        <v>720</v>
      </c>
      <c r="P37" s="6">
        <f>Table14[[#This Row],[Gross sales]]-Table14[[#This Row],[Discount_Amount]]</f>
        <v>13680</v>
      </c>
      <c r="Q37" s="6" t="str">
        <f>TEXT(Table14[[#This Row],[Date]],"mmmm")</f>
        <v>April</v>
      </c>
      <c r="R37" s="9" t="str">
        <f>IF(OR(Table14[[#This Row],[Status]]="Pending",Table14[[#This Row],[Status]]="Refunded"),"Review","OK")</f>
        <v>OK</v>
      </c>
      <c r="S37" s="6" t="str">
        <f>IF(Table14[[#This Row],[Net_Sales]]&gt;25000,"High",IF(Table14[[#This Row],[Net_Sales]]&gt;10000,"Medium","Low"))</f>
        <v>Medium</v>
      </c>
      <c r="T37" s="6" t="b">
        <f>AND(Table14[[#This Row],[Quantity]]&gt;=5,Table14[[#This Row],[Discount_Rate]]&gt;=10%)</f>
        <v>0</v>
      </c>
      <c r="U37" s="6" t="b">
        <f>OR(Table14[[#This Row],[Payment_Method]]="UPI",Table14[[#This Row],[Payment_Method]]="Cash")</f>
        <v>0</v>
      </c>
      <c r="V37" s="6">
        <f>IFERROR(Table14[[#This Row],[Net_Sales]]/Table14[[#This Row],[Quantity]],"ERROR")</f>
        <v>3420</v>
      </c>
      <c r="W37" s="6" t="str">
        <f>PROPER(TRIM(Table14[[#This Row],[Customer_Name]]))</f>
        <v>Yonder Distributors</v>
      </c>
      <c r="X37" s="6" t="str">
        <f>PROPER(TRIM(Table14[[#This Row],[Region]]))</f>
        <v>West</v>
      </c>
      <c r="Y37" s="6">
        <f>YEAR(Table14[[#This Row],[Date]])</f>
        <v>2026</v>
      </c>
      <c r="Z37" s="6">
        <f>MONTH(Table14[[#This Row],[Date]])</f>
        <v>4</v>
      </c>
      <c r="AA37" s="6" t="str">
        <f>MID(Table14[[#This Row],[Transaction_ID]],4,7)</f>
        <v>1051</v>
      </c>
      <c r="AB37" s="6" t="str">
        <f>_xlfn.CONCAT(Table14[[#This Row],[Region]],"-",Table14[[#This Row],[Category]])</f>
        <v>West-Fashion</v>
      </c>
    </row>
    <row r="38" spans="1:28">
      <c r="A38" s="4" t="s">
        <v>109</v>
      </c>
      <c r="B38" s="5">
        <v>46065</v>
      </c>
      <c r="C38" s="6" t="s">
        <v>14</v>
      </c>
      <c r="D38" s="6" t="s">
        <v>24</v>
      </c>
      <c r="E38" s="6" t="s">
        <v>110</v>
      </c>
      <c r="F38" s="6" t="s">
        <v>47</v>
      </c>
      <c r="G38" s="6" t="s">
        <v>111</v>
      </c>
      <c r="H38" s="6">
        <v>9</v>
      </c>
      <c r="I38" s="7">
        <v>1750</v>
      </c>
      <c r="J38" s="8">
        <v>0.15</v>
      </c>
      <c r="K38" s="6" t="s">
        <v>28</v>
      </c>
      <c r="L38" s="6" t="s">
        <v>20</v>
      </c>
      <c r="M38" s="6" t="s">
        <v>21</v>
      </c>
      <c r="N38" s="6">
        <f>Table14[[#This Row],[Quantity]]*Table14[[#This Row],[Unit_Price_INR]]</f>
        <v>15750</v>
      </c>
      <c r="O38" s="6">
        <f>Table14[[#This Row],[Gross sales]]*Table14[[#This Row],[Discount_Rate]]</f>
        <v>2362.5</v>
      </c>
      <c r="P38" s="6">
        <f>Table14[[#This Row],[Gross sales]]-Table14[[#This Row],[Discount_Amount]]</f>
        <v>13387.5</v>
      </c>
      <c r="Q38" s="6" t="str">
        <f>TEXT(Table14[[#This Row],[Date]],"mmmm")</f>
        <v>February</v>
      </c>
      <c r="R38" s="9" t="str">
        <f>IF(OR(Table14[[#This Row],[Status]]="Pending",Table14[[#This Row],[Status]]="Refunded"),"Review","OK")</f>
        <v>OK</v>
      </c>
      <c r="S38" s="6" t="str">
        <f>IF(Table14[[#This Row],[Net_Sales]]&gt;25000,"High",IF(Table14[[#This Row],[Net_Sales]]&gt;10000,"Medium","Low"))</f>
        <v>Medium</v>
      </c>
      <c r="T38" s="6" t="b">
        <f>AND(Table14[[#This Row],[Quantity]]&gt;=5,Table14[[#This Row],[Discount_Rate]]&gt;=10%)</f>
        <v>1</v>
      </c>
      <c r="U38" s="6" t="b">
        <f>OR(Table14[[#This Row],[Payment_Method]]="UPI",Table14[[#This Row],[Payment_Method]]="Cash")</f>
        <v>0</v>
      </c>
      <c r="V38" s="6">
        <f>IFERROR(Table14[[#This Row],[Net_Sales]]/Table14[[#This Row],[Quantity]],"ERROR")</f>
        <v>1487.5</v>
      </c>
      <c r="W38" s="6" t="str">
        <f>PROPER(TRIM(Table14[[#This Row],[Customer_Name]]))</f>
        <v>Yellow Basket</v>
      </c>
      <c r="X38" s="6" t="str">
        <f>PROPER(TRIM(Table14[[#This Row],[Region]]))</f>
        <v>North</v>
      </c>
      <c r="Y38" s="6">
        <f>YEAR(Table14[[#This Row],[Date]])</f>
        <v>2026</v>
      </c>
      <c r="Z38" s="6">
        <f>MONTH(Table14[[#This Row],[Date]])</f>
        <v>2</v>
      </c>
      <c r="AA38" s="6" t="str">
        <f>MID(Table14[[#This Row],[Transaction_ID]],4,7)</f>
        <v>1025</v>
      </c>
      <c r="AB38" s="6" t="str">
        <f>_xlfn.CONCAT(Table14[[#This Row],[Region]],"-",Table14[[#This Row],[Category]])</f>
        <v>North-Fashion</v>
      </c>
    </row>
    <row r="39" spans="1:28">
      <c r="A39" s="10" t="s">
        <v>173</v>
      </c>
      <c r="B39" s="11">
        <v>46114</v>
      </c>
      <c r="C39" s="12" t="s">
        <v>23</v>
      </c>
      <c r="D39" s="12" t="s">
        <v>24</v>
      </c>
      <c r="E39" s="12" t="s">
        <v>174</v>
      </c>
      <c r="F39" s="12" t="s">
        <v>47</v>
      </c>
      <c r="G39" s="12" t="s">
        <v>175</v>
      </c>
      <c r="H39" s="12">
        <v>11</v>
      </c>
      <c r="I39" s="13">
        <v>1350</v>
      </c>
      <c r="J39" s="14">
        <v>0.1</v>
      </c>
      <c r="K39" s="12" t="s">
        <v>19</v>
      </c>
      <c r="L39" s="12" t="s">
        <v>20</v>
      </c>
      <c r="M39" s="12" t="s">
        <v>52</v>
      </c>
      <c r="N39" s="6">
        <f>Table14[[#This Row],[Quantity]]*Table14[[#This Row],[Unit_Price_INR]]</f>
        <v>14850</v>
      </c>
      <c r="O39" s="6">
        <f>Table14[[#This Row],[Gross sales]]*Table14[[#This Row],[Discount_Rate]]</f>
        <v>1485</v>
      </c>
      <c r="P39" s="6">
        <f>Table14[[#This Row],[Gross sales]]-Table14[[#This Row],[Discount_Amount]]</f>
        <v>13365</v>
      </c>
      <c r="Q39" s="6" t="str">
        <f>TEXT(Table14[[#This Row],[Date]],"mmmm")</f>
        <v>April</v>
      </c>
      <c r="R39" s="9" t="str">
        <f>IF(OR(Table14[[#This Row],[Status]]="Pending",Table14[[#This Row],[Status]]="Refunded"),"Review","OK")</f>
        <v>OK</v>
      </c>
      <c r="S39" s="6" t="str">
        <f>IF(Table14[[#This Row],[Net_Sales]]&gt;25000,"High",IF(Table14[[#This Row],[Net_Sales]]&gt;10000,"Medium","Low"))</f>
        <v>Medium</v>
      </c>
      <c r="T39" s="6" t="b">
        <f>AND(Table14[[#This Row],[Quantity]]&gt;=5,Table14[[#This Row],[Discount_Rate]]&gt;=10%)</f>
        <v>1</v>
      </c>
      <c r="U39" s="6" t="b">
        <f>OR(Table14[[#This Row],[Payment_Method]]="UPI",Table14[[#This Row],[Payment_Method]]="Cash")</f>
        <v>1</v>
      </c>
      <c r="V39" s="6">
        <f>IFERROR(Table14[[#This Row],[Net_Sales]]/Table14[[#This Row],[Quantity]],"ERROR")</f>
        <v>1215</v>
      </c>
      <c r="W39" s="6" t="str">
        <f>PROPER(TRIM(Table14[[#This Row],[Customer_Name]]))</f>
        <v>Topaz Shop</v>
      </c>
      <c r="X39" s="6" t="str">
        <f>PROPER(TRIM(Table14[[#This Row],[Region]]))</f>
        <v>South</v>
      </c>
      <c r="Y39" s="6">
        <f>YEAR(Table14[[#This Row],[Date]])</f>
        <v>2026</v>
      </c>
      <c r="Z39" s="6">
        <f>MONTH(Table14[[#This Row],[Date]])</f>
        <v>4</v>
      </c>
      <c r="AA39" s="6" t="str">
        <f>MID(Table14[[#This Row],[Transaction_ID]],4,7)</f>
        <v>1046</v>
      </c>
      <c r="AB39" s="6" t="str">
        <f>_xlfn.CONCAT(Table14[[#This Row],[Region]],"-",Table14[[#This Row],[Category]])</f>
        <v>South-Fashion</v>
      </c>
    </row>
    <row r="40" spans="1:28">
      <c r="A40" s="4" t="s">
        <v>115</v>
      </c>
      <c r="B40" s="5">
        <v>46069</v>
      </c>
      <c r="C40" s="6" t="s">
        <v>31</v>
      </c>
      <c r="D40" s="6" t="s">
        <v>39</v>
      </c>
      <c r="E40" s="6" t="s">
        <v>116</v>
      </c>
      <c r="F40" s="6" t="s">
        <v>33</v>
      </c>
      <c r="G40" s="6" t="s">
        <v>117</v>
      </c>
      <c r="H40" s="6">
        <v>18</v>
      </c>
      <c r="I40" s="7">
        <v>720</v>
      </c>
      <c r="J40" s="8">
        <v>0</v>
      </c>
      <c r="K40" s="6" t="s">
        <v>43</v>
      </c>
      <c r="L40" s="6" t="s">
        <v>118</v>
      </c>
      <c r="M40" s="6" t="s">
        <v>36</v>
      </c>
      <c r="N40" s="6">
        <f>Table14[[#This Row],[Quantity]]*Table14[[#This Row],[Unit_Price_INR]]</f>
        <v>12960</v>
      </c>
      <c r="O40" s="6">
        <f>Table14[[#This Row],[Gross sales]]*Table14[[#This Row],[Discount_Rate]]</f>
        <v>0</v>
      </c>
      <c r="P40" s="6">
        <f>Table14[[#This Row],[Gross sales]]-Table14[[#This Row],[Discount_Amount]]</f>
        <v>12960</v>
      </c>
      <c r="Q40" s="6" t="str">
        <f>TEXT(Table14[[#This Row],[Date]],"mmmm")</f>
        <v>February</v>
      </c>
      <c r="R40" s="9" t="str">
        <f>IF(OR(Table14[[#This Row],[Status]]="Pending",Table14[[#This Row],[Status]]="Refunded"),"Review","OK")</f>
        <v>OK</v>
      </c>
      <c r="S40" s="6" t="str">
        <f>IF(Table14[[#This Row],[Net_Sales]]&gt;25000,"High",IF(Table14[[#This Row],[Net_Sales]]&gt;10000,"Medium","Low"))</f>
        <v>Medium</v>
      </c>
      <c r="T40" s="6" t="b">
        <f>AND(Table14[[#This Row],[Quantity]]&gt;=5,Table14[[#This Row],[Discount_Rate]]&gt;=10%)</f>
        <v>0</v>
      </c>
      <c r="U40" s="6" t="b">
        <f>OR(Table14[[#This Row],[Payment_Method]]="UPI",Table14[[#This Row],[Payment_Method]]="Cash")</f>
        <v>0</v>
      </c>
      <c r="V40" s="6">
        <f>IFERROR(Table14[[#This Row],[Net_Sales]]/Table14[[#This Row],[Quantity]],"ERROR")</f>
        <v>720</v>
      </c>
      <c r="W40" s="6" t="str">
        <f>PROPER(TRIM(Table14[[#This Row],[Customer_Name]]))</f>
        <v>Apex Traders</v>
      </c>
      <c r="X40" s="6" t="str">
        <f>PROPER(TRIM(Table14[[#This Row],[Region]]))</f>
        <v>West</v>
      </c>
      <c r="Y40" s="6">
        <f>YEAR(Table14[[#This Row],[Date]])</f>
        <v>2026</v>
      </c>
      <c r="Z40" s="6">
        <f>MONTH(Table14[[#This Row],[Date]])</f>
        <v>2</v>
      </c>
      <c r="AA40" s="6" t="str">
        <f>MID(Table14[[#This Row],[Transaction_ID]],4,7)</f>
        <v>1027</v>
      </c>
      <c r="AB40" s="6" t="str">
        <f>_xlfn.CONCAT(Table14[[#This Row],[Region]],"-",Table14[[#This Row],[Category]])</f>
        <v>West-Grocery</v>
      </c>
    </row>
    <row r="41" spans="1:28">
      <c r="A41" s="10" t="s">
        <v>70</v>
      </c>
      <c r="B41" s="11">
        <v>46039</v>
      </c>
      <c r="C41" s="12" t="s">
        <v>38</v>
      </c>
      <c r="D41" s="12" t="s">
        <v>39</v>
      </c>
      <c r="E41" s="12" t="s">
        <v>71</v>
      </c>
      <c r="F41" s="12" t="s">
        <v>33</v>
      </c>
      <c r="G41" s="12" t="s">
        <v>72</v>
      </c>
      <c r="H41" s="12">
        <v>20</v>
      </c>
      <c r="I41" s="13">
        <v>650</v>
      </c>
      <c r="J41" s="14">
        <v>0.02</v>
      </c>
      <c r="K41" s="12" t="s">
        <v>43</v>
      </c>
      <c r="L41" s="12" t="s">
        <v>20</v>
      </c>
      <c r="M41" s="12" t="s">
        <v>44</v>
      </c>
      <c r="N41" s="6">
        <f>Table14[[#This Row],[Quantity]]*Table14[[#This Row],[Unit_Price_INR]]</f>
        <v>13000</v>
      </c>
      <c r="O41" s="6">
        <f>Table14[[#This Row],[Gross sales]]*Table14[[#This Row],[Discount_Rate]]</f>
        <v>260</v>
      </c>
      <c r="P41" s="6">
        <f>Table14[[#This Row],[Gross sales]]-Table14[[#This Row],[Discount_Amount]]</f>
        <v>12740</v>
      </c>
      <c r="Q41" s="6" t="str">
        <f>TEXT(Table14[[#This Row],[Date]],"mmmm")</f>
        <v>January</v>
      </c>
      <c r="R41" s="9" t="str">
        <f>IF(OR(Table14[[#This Row],[Status]]="Pending",Table14[[#This Row],[Status]]="Refunded"),"Review","OK")</f>
        <v>OK</v>
      </c>
      <c r="S41" s="6" t="str">
        <f>IF(Table14[[#This Row],[Net_Sales]]&gt;25000,"High",IF(Table14[[#This Row],[Net_Sales]]&gt;10000,"Medium","Low"))</f>
        <v>Medium</v>
      </c>
      <c r="T41" s="6" t="b">
        <f>AND(Table14[[#This Row],[Quantity]]&gt;=5,Table14[[#This Row],[Discount_Rate]]&gt;=10%)</f>
        <v>0</v>
      </c>
      <c r="U41" s="6" t="b">
        <f>OR(Table14[[#This Row],[Payment_Method]]="UPI",Table14[[#This Row],[Payment_Method]]="Cash")</f>
        <v>0</v>
      </c>
      <c r="V41" s="6">
        <f>IFERROR(Table14[[#This Row],[Net_Sales]]/Table14[[#This Row],[Quantity]],"ERROR")</f>
        <v>637</v>
      </c>
      <c r="W41" s="6" t="str">
        <f>PROPER(TRIM(Table14[[#This Row],[Customer_Name]]))</f>
        <v>Lotus Distributors</v>
      </c>
      <c r="X41" s="6" t="str">
        <f>PROPER(TRIM(Table14[[#This Row],[Region]]))</f>
        <v>East</v>
      </c>
      <c r="Y41" s="6">
        <f>YEAR(Table14[[#This Row],[Date]])</f>
        <v>2026</v>
      </c>
      <c r="Z41" s="6">
        <f>MONTH(Table14[[#This Row],[Date]])</f>
        <v>1</v>
      </c>
      <c r="AA41" s="6" t="str">
        <f>MID(Table14[[#This Row],[Transaction_ID]],4,7)</f>
        <v>1012</v>
      </c>
      <c r="AB41" s="6" t="str">
        <f>_xlfn.CONCAT(Table14[[#This Row],[Region]],"-",Table14[[#This Row],[Category]])</f>
        <v>East-Grocery</v>
      </c>
    </row>
    <row r="42" spans="1:28">
      <c r="A42" s="4" t="s">
        <v>53</v>
      </c>
      <c r="B42" s="5">
        <v>46032</v>
      </c>
      <c r="C42" s="6" t="s">
        <v>31</v>
      </c>
      <c r="D42" s="6" t="s">
        <v>24</v>
      </c>
      <c r="E42" s="6" t="s">
        <v>54</v>
      </c>
      <c r="F42" s="6" t="s">
        <v>17</v>
      </c>
      <c r="G42" s="6" t="s">
        <v>55</v>
      </c>
      <c r="H42" s="6">
        <v>8</v>
      </c>
      <c r="I42" s="7">
        <v>1800</v>
      </c>
      <c r="J42" s="8">
        <v>0.12</v>
      </c>
      <c r="K42" s="6" t="s">
        <v>28</v>
      </c>
      <c r="L42" s="6" t="s">
        <v>56</v>
      </c>
      <c r="M42" s="6" t="s">
        <v>36</v>
      </c>
      <c r="N42" s="6">
        <f>Table14[[#This Row],[Quantity]]*Table14[[#This Row],[Unit_Price_INR]]</f>
        <v>14400</v>
      </c>
      <c r="O42" s="6">
        <f>Table14[[#This Row],[Gross sales]]*Table14[[#This Row],[Discount_Rate]]</f>
        <v>1728</v>
      </c>
      <c r="P42" s="6">
        <f>Table14[[#This Row],[Gross sales]]-Table14[[#This Row],[Discount_Amount]]</f>
        <v>12672</v>
      </c>
      <c r="Q42" s="6" t="str">
        <f>TEXT(Table14[[#This Row],[Date]],"mmmm")</f>
        <v>January</v>
      </c>
      <c r="R42" s="9" t="str">
        <f>IF(OR(Table14[[#This Row],[Status]]="Pending",Table14[[#This Row],[Status]]="Refunded"),"Review","OK")</f>
        <v>Review</v>
      </c>
      <c r="S42" s="6" t="str">
        <f>IF(Table14[[#This Row],[Net_Sales]]&gt;25000,"High",IF(Table14[[#This Row],[Net_Sales]]&gt;10000,"Medium","Low"))</f>
        <v>Medium</v>
      </c>
      <c r="T42" s="6" t="b">
        <f>AND(Table14[[#This Row],[Quantity]]&gt;=5,Table14[[#This Row],[Discount_Rate]]&gt;=10%)</f>
        <v>1</v>
      </c>
      <c r="U42" s="6" t="b">
        <f>OR(Table14[[#This Row],[Payment_Method]]="UPI",Table14[[#This Row],[Payment_Method]]="Cash")</f>
        <v>0</v>
      </c>
      <c r="V42" s="6">
        <f>IFERROR(Table14[[#This Row],[Net_Sales]]/Table14[[#This Row],[Quantity]],"ERROR")</f>
        <v>1584</v>
      </c>
      <c r="W42" s="6" t="str">
        <f>PROPER(TRIM(Table14[[#This Row],[Customer_Name]]))</f>
        <v>Global Needs</v>
      </c>
      <c r="X42" s="6" t="str">
        <f>PROPER(TRIM(Table14[[#This Row],[Region]]))</f>
        <v>West</v>
      </c>
      <c r="Y42" s="6">
        <f>YEAR(Table14[[#This Row],[Date]])</f>
        <v>2026</v>
      </c>
      <c r="Z42" s="6">
        <f>MONTH(Table14[[#This Row],[Date]])</f>
        <v>1</v>
      </c>
      <c r="AA42" s="6" t="str">
        <f>MID(Table14[[#This Row],[Transaction_ID]],4,7)</f>
        <v>1007</v>
      </c>
      <c r="AB42" s="6" t="str">
        <f>_xlfn.CONCAT(Table14[[#This Row],[Region]],"-",Table14[[#This Row],[Category]])</f>
        <v>West-Electronics</v>
      </c>
    </row>
    <row r="43" spans="1:28">
      <c r="A43" s="4" t="s">
        <v>30</v>
      </c>
      <c r="B43" s="5">
        <v>46027</v>
      </c>
      <c r="C43" s="6" t="s">
        <v>31</v>
      </c>
      <c r="D43" s="6" t="s">
        <v>15</v>
      </c>
      <c r="E43" s="6" t="s">
        <v>32</v>
      </c>
      <c r="F43" s="6" t="s">
        <v>33</v>
      </c>
      <c r="G43" s="6" t="s">
        <v>34</v>
      </c>
      <c r="H43" s="6">
        <v>10</v>
      </c>
      <c r="I43" s="7">
        <v>1250</v>
      </c>
      <c r="J43" s="8">
        <v>0</v>
      </c>
      <c r="K43" s="6" t="s">
        <v>35</v>
      </c>
      <c r="L43" s="6" t="s">
        <v>20</v>
      </c>
      <c r="M43" s="6" t="s">
        <v>36</v>
      </c>
      <c r="N43" s="6">
        <f>Table14[[#This Row],[Quantity]]*Table14[[#This Row],[Unit_Price_INR]]</f>
        <v>12500</v>
      </c>
      <c r="O43" s="6">
        <f>Table14[[#This Row],[Gross sales]]*Table14[[#This Row],[Discount_Rate]]</f>
        <v>0</v>
      </c>
      <c r="P43" s="6">
        <f>Table14[[#This Row],[Gross sales]]-Table14[[#This Row],[Discount_Amount]]</f>
        <v>12500</v>
      </c>
      <c r="Q43" s="6" t="str">
        <f>TEXT(Table14[[#This Row],[Date]],"mmmm")</f>
        <v>January</v>
      </c>
      <c r="R43" s="9" t="str">
        <f>IF(OR(Table14[[#This Row],[Status]]="Pending",Table14[[#This Row],[Status]]="Refunded"),"Review","OK")</f>
        <v>OK</v>
      </c>
      <c r="S43" s="6" t="str">
        <f>IF(Table14[[#This Row],[Net_Sales]]&gt;25000,"High",IF(Table14[[#This Row],[Net_Sales]]&gt;10000,"Medium","Low"))</f>
        <v>Medium</v>
      </c>
      <c r="T43" s="6" t="b">
        <f>AND(Table14[[#This Row],[Quantity]]&gt;=5,Table14[[#This Row],[Discount_Rate]]&gt;=10%)</f>
        <v>0</v>
      </c>
      <c r="U43" s="6" t="b">
        <f>OR(Table14[[#This Row],[Payment_Method]]="UPI",Table14[[#This Row],[Payment_Method]]="Cash")</f>
        <v>1</v>
      </c>
      <c r="V43" s="6">
        <f>IFERROR(Table14[[#This Row],[Net_Sales]]/Table14[[#This Row],[Quantity]],"ERROR")</f>
        <v>1250</v>
      </c>
      <c r="W43" s="6" t="str">
        <f>PROPER(TRIM(Table14[[#This Row],[Customer_Name]]))</f>
        <v>City Bazaar</v>
      </c>
      <c r="X43" s="6" t="str">
        <f>PROPER(TRIM(Table14[[#This Row],[Region]]))</f>
        <v>West</v>
      </c>
      <c r="Y43" s="6">
        <f>YEAR(Table14[[#This Row],[Date]])</f>
        <v>2026</v>
      </c>
      <c r="Z43" s="6">
        <f>MONTH(Table14[[#This Row],[Date]])</f>
        <v>1</v>
      </c>
      <c r="AA43" s="6" t="str">
        <f>MID(Table14[[#This Row],[Transaction_ID]],4,7)</f>
        <v>1003</v>
      </c>
      <c r="AB43" s="6" t="str">
        <f>_xlfn.CONCAT(Table14[[#This Row],[Region]],"-",Table14[[#This Row],[Category]])</f>
        <v>West-Grocery</v>
      </c>
    </row>
    <row r="44" spans="1:28">
      <c r="A44" s="10" t="s">
        <v>125</v>
      </c>
      <c r="B44" s="11">
        <v>46075</v>
      </c>
      <c r="C44" s="12" t="s">
        <v>23</v>
      </c>
      <c r="D44" s="12" t="s">
        <v>39</v>
      </c>
      <c r="E44" s="12" t="s">
        <v>126</v>
      </c>
      <c r="F44" s="12" t="s">
        <v>47</v>
      </c>
      <c r="G44" s="12" t="s">
        <v>127</v>
      </c>
      <c r="H44" s="12">
        <v>5</v>
      </c>
      <c r="I44" s="13">
        <v>2800</v>
      </c>
      <c r="J44" s="14">
        <v>0.12</v>
      </c>
      <c r="K44" s="12" t="s">
        <v>43</v>
      </c>
      <c r="L44" s="12" t="s">
        <v>20</v>
      </c>
      <c r="M44" s="12" t="s">
        <v>29</v>
      </c>
      <c r="N44" s="6">
        <f>Table14[[#This Row],[Quantity]]*Table14[[#This Row],[Unit_Price_INR]]</f>
        <v>14000</v>
      </c>
      <c r="O44" s="6">
        <f>Table14[[#This Row],[Gross sales]]*Table14[[#This Row],[Discount_Rate]]</f>
        <v>1680</v>
      </c>
      <c r="P44" s="6">
        <f>Table14[[#This Row],[Gross sales]]-Table14[[#This Row],[Discount_Amount]]</f>
        <v>12320</v>
      </c>
      <c r="Q44" s="6" t="str">
        <f>TEXT(Table14[[#This Row],[Date]],"mmmm")</f>
        <v>February</v>
      </c>
      <c r="R44" s="9" t="str">
        <f>IF(OR(Table14[[#This Row],[Status]]="Pending",Table14[[#This Row],[Status]]="Refunded"),"Review","OK")</f>
        <v>OK</v>
      </c>
      <c r="S44" s="6" t="str">
        <f>IF(Table14[[#This Row],[Net_Sales]]&gt;25000,"High",IF(Table14[[#This Row],[Net_Sales]]&gt;10000,"Medium","Low"))</f>
        <v>Medium</v>
      </c>
      <c r="T44" s="6" t="b">
        <f>AND(Table14[[#This Row],[Quantity]]&gt;=5,Table14[[#This Row],[Discount_Rate]]&gt;=10%)</f>
        <v>1</v>
      </c>
      <c r="U44" s="6" t="b">
        <f>OR(Table14[[#This Row],[Payment_Method]]="UPI",Table14[[#This Row],[Payment_Method]]="Cash")</f>
        <v>0</v>
      </c>
      <c r="V44" s="6">
        <f>IFERROR(Table14[[#This Row],[Net_Sales]]/Table14[[#This Row],[Quantity]],"ERROR")</f>
        <v>2464</v>
      </c>
      <c r="W44" s="6" t="str">
        <f>PROPER(TRIM(Table14[[#This Row],[Customer_Name]]))</f>
        <v>Dawn Distributors</v>
      </c>
      <c r="X44" s="6" t="str">
        <f>PROPER(TRIM(Table14[[#This Row],[Region]]))</f>
        <v>South</v>
      </c>
      <c r="Y44" s="6">
        <f>YEAR(Table14[[#This Row],[Date]])</f>
        <v>2026</v>
      </c>
      <c r="Z44" s="6">
        <f>MONTH(Table14[[#This Row],[Date]])</f>
        <v>2</v>
      </c>
      <c r="AA44" s="6" t="str">
        <f>MID(Table14[[#This Row],[Transaction_ID]],4,7)</f>
        <v>1030</v>
      </c>
      <c r="AB44" s="6" t="str">
        <f>_xlfn.CONCAT(Table14[[#This Row],[Region]],"-",Table14[[#This Row],[Category]])</f>
        <v>South-Fashion</v>
      </c>
    </row>
    <row r="45" spans="1:28">
      <c r="A45" s="4" t="s">
        <v>200</v>
      </c>
      <c r="B45" s="5">
        <v>46132</v>
      </c>
      <c r="C45" s="6" t="s">
        <v>31</v>
      </c>
      <c r="D45" s="6" t="s">
        <v>24</v>
      </c>
      <c r="E45" s="6" t="s">
        <v>201</v>
      </c>
      <c r="F45" s="6" t="s">
        <v>41</v>
      </c>
      <c r="G45" s="6" t="s">
        <v>202</v>
      </c>
      <c r="H45" s="6">
        <v>7</v>
      </c>
      <c r="I45" s="7">
        <v>1850</v>
      </c>
      <c r="J45" s="8">
        <v>0.05</v>
      </c>
      <c r="K45" s="6" t="s">
        <v>28</v>
      </c>
      <c r="L45" s="6" t="s">
        <v>20</v>
      </c>
      <c r="M45" s="6" t="s">
        <v>36</v>
      </c>
      <c r="N45" s="6">
        <f>Table14[[#This Row],[Quantity]]*Table14[[#This Row],[Unit_Price_INR]]</f>
        <v>12950</v>
      </c>
      <c r="O45" s="6">
        <f>Table14[[#This Row],[Gross sales]]*Table14[[#This Row],[Discount_Rate]]</f>
        <v>647.5</v>
      </c>
      <c r="P45" s="6">
        <f>Table14[[#This Row],[Gross sales]]-Table14[[#This Row],[Discount_Amount]]</f>
        <v>12302.5</v>
      </c>
      <c r="Q45" s="6" t="str">
        <f>TEXT(Table14[[#This Row],[Date]],"mmmm")</f>
        <v>April</v>
      </c>
      <c r="R45" s="9" t="str">
        <f>IF(OR(Table14[[#This Row],[Status]]="Pending",Table14[[#This Row],[Status]]="Refunded"),"Review","OK")</f>
        <v>OK</v>
      </c>
      <c r="S45" s="6" t="str">
        <f>IF(Table14[[#This Row],[Net_Sales]]&gt;25000,"High",IF(Table14[[#This Row],[Net_Sales]]&gt;10000,"Medium","Low"))</f>
        <v>Medium</v>
      </c>
      <c r="T45" s="6" t="b">
        <f>AND(Table14[[#This Row],[Quantity]]&gt;=5,Table14[[#This Row],[Discount_Rate]]&gt;=10%)</f>
        <v>0</v>
      </c>
      <c r="U45" s="6" t="b">
        <f>OR(Table14[[#This Row],[Payment_Method]]="UPI",Table14[[#This Row],[Payment_Method]]="Cash")</f>
        <v>0</v>
      </c>
      <c r="V45" s="6">
        <f>IFERROR(Table14[[#This Row],[Net_Sales]]/Table14[[#This Row],[Quantity]],"ERROR")</f>
        <v>1757.5</v>
      </c>
      <c r="W45" s="6" t="str">
        <f>PROPER(TRIM(Table14[[#This Row],[Customer_Name]]))</f>
        <v>Cedar Store</v>
      </c>
      <c r="X45" s="6" t="str">
        <f>PROPER(TRIM(Table14[[#This Row],[Region]]))</f>
        <v>West</v>
      </c>
      <c r="Y45" s="6">
        <f>YEAR(Table14[[#This Row],[Date]])</f>
        <v>2026</v>
      </c>
      <c r="Z45" s="6">
        <f>MONTH(Table14[[#This Row],[Date]])</f>
        <v>4</v>
      </c>
      <c r="AA45" s="6" t="str">
        <f>MID(Table14[[#This Row],[Transaction_ID]],4,7)</f>
        <v>1055</v>
      </c>
      <c r="AB45" s="6" t="str">
        <f>_xlfn.CONCAT(Table14[[#This Row],[Region]],"-",Table14[[#This Row],[Category]])</f>
        <v>West-Office</v>
      </c>
    </row>
    <row r="46" spans="1:28">
      <c r="A46" s="10" t="s">
        <v>22</v>
      </c>
      <c r="B46" s="11">
        <v>46026</v>
      </c>
      <c r="C46" s="12" t="s">
        <v>23</v>
      </c>
      <c r="D46" s="12" t="s">
        <v>24</v>
      </c>
      <c r="E46" s="12" t="s">
        <v>25</v>
      </c>
      <c r="F46" s="12" t="s">
        <v>26</v>
      </c>
      <c r="G46" s="12" t="s">
        <v>27</v>
      </c>
      <c r="H46" s="12">
        <v>3</v>
      </c>
      <c r="I46" s="13">
        <v>4200</v>
      </c>
      <c r="J46" s="14">
        <v>0.05</v>
      </c>
      <c r="K46" s="12" t="s">
        <v>28</v>
      </c>
      <c r="L46" s="12" t="s">
        <v>20</v>
      </c>
      <c r="M46" s="12" t="s">
        <v>29</v>
      </c>
      <c r="N46" s="6">
        <f>Table14[[#This Row],[Quantity]]*Table14[[#This Row],[Unit_Price_INR]]</f>
        <v>12600</v>
      </c>
      <c r="O46" s="6">
        <f>Table14[[#This Row],[Gross sales]]*Table14[[#This Row],[Discount_Rate]]</f>
        <v>630</v>
      </c>
      <c r="P46" s="6">
        <f>Table14[[#This Row],[Gross sales]]-Table14[[#This Row],[Discount_Amount]]</f>
        <v>11970</v>
      </c>
      <c r="Q46" s="6" t="str">
        <f>TEXT(Table14[[#This Row],[Date]],"mmmm")</f>
        <v>January</v>
      </c>
      <c r="R46" s="9" t="str">
        <f>IF(OR(Table14[[#This Row],[Status]]="Pending",Table14[[#This Row],[Status]]="Refunded"),"Review","OK")</f>
        <v>OK</v>
      </c>
      <c r="S46" s="6" t="str">
        <f>IF(Table14[[#This Row],[Net_Sales]]&gt;25000,"High",IF(Table14[[#This Row],[Net_Sales]]&gt;10000,"Medium","Low"))</f>
        <v>Medium</v>
      </c>
      <c r="T46" s="6" t="b">
        <f>AND(Table14[[#This Row],[Quantity]]&gt;=5,Table14[[#This Row],[Discount_Rate]]&gt;=10%)</f>
        <v>0</v>
      </c>
      <c r="U46" s="6" t="b">
        <f>OR(Table14[[#This Row],[Payment_Method]]="UPI",Table14[[#This Row],[Payment_Method]]="Cash")</f>
        <v>0</v>
      </c>
      <c r="V46" s="6">
        <f>IFERROR(Table14[[#This Row],[Net_Sales]]/Table14[[#This Row],[Quantity]],"ERROR")</f>
        <v>3990</v>
      </c>
      <c r="W46" s="6" t="str">
        <f>PROPER(TRIM(Table14[[#This Row],[Customer_Name]]))</f>
        <v>Bright Mart</v>
      </c>
      <c r="X46" s="6" t="str">
        <f>PROPER(TRIM(Table14[[#This Row],[Region]]))</f>
        <v>South</v>
      </c>
      <c r="Y46" s="6">
        <f>YEAR(Table14[[#This Row],[Date]])</f>
        <v>2026</v>
      </c>
      <c r="Z46" s="6">
        <f>MONTH(Table14[[#This Row],[Date]])</f>
        <v>1</v>
      </c>
      <c r="AA46" s="6" t="str">
        <f>MID(Table14[[#This Row],[Transaction_ID]],4,7)</f>
        <v>1002</v>
      </c>
      <c r="AB46" s="6" t="str">
        <f>_xlfn.CONCAT(Table14[[#This Row],[Region]],"-",Table14[[#This Row],[Category]])</f>
        <v>South-Home</v>
      </c>
    </row>
    <row r="47" spans="1:28">
      <c r="A47" s="10" t="s">
        <v>203</v>
      </c>
      <c r="B47" s="11">
        <v>46134</v>
      </c>
      <c r="C47" s="12" t="s">
        <v>38</v>
      </c>
      <c r="D47" s="12" t="s">
        <v>15</v>
      </c>
      <c r="E47" s="12" t="s">
        <v>204</v>
      </c>
      <c r="F47" s="12" t="s">
        <v>47</v>
      </c>
      <c r="G47" s="12" t="s">
        <v>205</v>
      </c>
      <c r="H47" s="12">
        <v>13</v>
      </c>
      <c r="I47" s="13">
        <v>950</v>
      </c>
      <c r="J47" s="14">
        <v>0.1</v>
      </c>
      <c r="K47" s="12" t="s">
        <v>19</v>
      </c>
      <c r="L47" s="12" t="s">
        <v>20</v>
      </c>
      <c r="M47" s="12" t="s">
        <v>44</v>
      </c>
      <c r="N47" s="6">
        <f>Table14[[#This Row],[Quantity]]*Table14[[#This Row],[Unit_Price_INR]]</f>
        <v>12350</v>
      </c>
      <c r="O47" s="6">
        <f>Table14[[#This Row],[Gross sales]]*Table14[[#This Row],[Discount_Rate]]</f>
        <v>1235</v>
      </c>
      <c r="P47" s="6">
        <f>Table14[[#This Row],[Gross sales]]-Table14[[#This Row],[Discount_Amount]]</f>
        <v>11115</v>
      </c>
      <c r="Q47" s="6" t="str">
        <f>TEXT(Table14[[#This Row],[Date]],"mmmm")</f>
        <v>April</v>
      </c>
      <c r="R47" s="9" t="str">
        <f>IF(OR(Table14[[#This Row],[Status]]="Pending",Table14[[#This Row],[Status]]="Refunded"),"Review","OK")</f>
        <v>OK</v>
      </c>
      <c r="S47" s="6" t="str">
        <f>IF(Table14[[#This Row],[Net_Sales]]&gt;25000,"High",IF(Table14[[#This Row],[Net_Sales]]&gt;10000,"Medium","Low"))</f>
        <v>Medium</v>
      </c>
      <c r="T47" s="6" t="b">
        <f>AND(Table14[[#This Row],[Quantity]]&gt;=5,Table14[[#This Row],[Discount_Rate]]&gt;=10%)</f>
        <v>1</v>
      </c>
      <c r="U47" s="6" t="b">
        <f>OR(Table14[[#This Row],[Payment_Method]]="UPI",Table14[[#This Row],[Payment_Method]]="Cash")</f>
        <v>1</v>
      </c>
      <c r="V47" s="6">
        <f>IFERROR(Table14[[#This Row],[Net_Sales]]/Table14[[#This Row],[Quantity]],"ERROR")</f>
        <v>855</v>
      </c>
      <c r="W47" s="6" t="str">
        <f>PROPER(TRIM(Table14[[#This Row],[Customer_Name]]))</f>
        <v>Driftwood Shop</v>
      </c>
      <c r="X47" s="6" t="str">
        <f>PROPER(TRIM(Table14[[#This Row],[Region]]))</f>
        <v>East</v>
      </c>
      <c r="Y47" s="6">
        <f>YEAR(Table14[[#This Row],[Date]])</f>
        <v>2026</v>
      </c>
      <c r="Z47" s="6">
        <f>MONTH(Table14[[#This Row],[Date]])</f>
        <v>4</v>
      </c>
      <c r="AA47" s="6" t="str">
        <f>MID(Table14[[#This Row],[Transaction_ID]],4,7)</f>
        <v>1056</v>
      </c>
      <c r="AB47" s="6" t="str">
        <f>_xlfn.CONCAT(Table14[[#This Row],[Region]],"-",Table14[[#This Row],[Category]])</f>
        <v>East-Fashion</v>
      </c>
    </row>
    <row r="48" spans="1:28">
      <c r="A48" s="10" t="s">
        <v>94</v>
      </c>
      <c r="B48" s="11">
        <v>46056</v>
      </c>
      <c r="C48" s="12" t="s">
        <v>38</v>
      </c>
      <c r="D48" s="12" t="s">
        <v>15</v>
      </c>
      <c r="E48" s="12" t="s">
        <v>95</v>
      </c>
      <c r="F48" s="12" t="s">
        <v>47</v>
      </c>
      <c r="G48" s="12" t="s">
        <v>96</v>
      </c>
      <c r="H48" s="12">
        <v>18</v>
      </c>
      <c r="I48" s="13">
        <v>650</v>
      </c>
      <c r="J48" s="14">
        <v>0.1</v>
      </c>
      <c r="K48" s="12" t="s">
        <v>19</v>
      </c>
      <c r="L48" s="12" t="s">
        <v>20</v>
      </c>
      <c r="M48" s="12" t="s">
        <v>44</v>
      </c>
      <c r="N48" s="6">
        <f>Table14[[#This Row],[Quantity]]*Table14[[#This Row],[Unit_Price_INR]]</f>
        <v>11700</v>
      </c>
      <c r="O48" s="6">
        <f>Table14[[#This Row],[Gross sales]]*Table14[[#This Row],[Discount_Rate]]</f>
        <v>1170</v>
      </c>
      <c r="P48" s="6">
        <f>Table14[[#This Row],[Gross sales]]-Table14[[#This Row],[Discount_Amount]]</f>
        <v>10530</v>
      </c>
      <c r="Q48" s="6" t="str">
        <f>TEXT(Table14[[#This Row],[Date]],"mmmm")</f>
        <v>February</v>
      </c>
      <c r="R48" s="9" t="str">
        <f>IF(OR(Table14[[#This Row],[Status]]="Pending",Table14[[#This Row],[Status]]="Refunded"),"Review","OK")</f>
        <v>OK</v>
      </c>
      <c r="S48" s="6" t="str">
        <f>IF(Table14[[#This Row],[Net_Sales]]&gt;25000,"High",IF(Table14[[#This Row],[Net_Sales]]&gt;10000,"Medium","Low"))</f>
        <v>Medium</v>
      </c>
      <c r="T48" s="6" t="b">
        <f>AND(Table14[[#This Row],[Quantity]]&gt;=5,Table14[[#This Row],[Discount_Rate]]&gt;=10%)</f>
        <v>1</v>
      </c>
      <c r="U48" s="6" t="b">
        <f>OR(Table14[[#This Row],[Payment_Method]]="UPI",Table14[[#This Row],[Payment_Method]]="Cash")</f>
        <v>1</v>
      </c>
      <c r="V48" s="6">
        <f>IFERROR(Table14[[#This Row],[Net_Sales]]/Table14[[#This Row],[Quantity]],"ERROR")</f>
        <v>585</v>
      </c>
      <c r="W48" s="6" t="str">
        <f>PROPER(TRIM(Table14[[#This Row],[Customer_Name]]))</f>
        <v>Trinity Store</v>
      </c>
      <c r="X48" s="6" t="str">
        <f>PROPER(TRIM(Table14[[#This Row],[Region]]))</f>
        <v>East</v>
      </c>
      <c r="Y48" s="6">
        <f>YEAR(Table14[[#This Row],[Date]])</f>
        <v>2026</v>
      </c>
      <c r="Z48" s="6">
        <f>MONTH(Table14[[#This Row],[Date]])</f>
        <v>2</v>
      </c>
      <c r="AA48" s="6" t="str">
        <f>MID(Table14[[#This Row],[Transaction_ID]],4,7)</f>
        <v>1020</v>
      </c>
      <c r="AB48" s="6" t="str">
        <f>_xlfn.CONCAT(Table14[[#This Row],[Region]],"-",Table14[[#This Row],[Category]])</f>
        <v>East-Fashion</v>
      </c>
    </row>
    <row r="49" spans="1:28">
      <c r="A49" s="4" t="s">
        <v>240</v>
      </c>
      <c r="B49" s="5">
        <v>46156</v>
      </c>
      <c r="C49" s="6" t="s">
        <v>38</v>
      </c>
      <c r="D49" s="6" t="s">
        <v>39</v>
      </c>
      <c r="E49" s="6" t="s">
        <v>241</v>
      </c>
      <c r="F49" s="6" t="s">
        <v>41</v>
      </c>
      <c r="G49" s="6" t="s">
        <v>242</v>
      </c>
      <c r="H49" s="6">
        <v>2</v>
      </c>
      <c r="I49" s="7">
        <v>5600</v>
      </c>
      <c r="J49" s="8">
        <v>7.0000000000000007E-2</v>
      </c>
      <c r="K49" s="6" t="s">
        <v>43</v>
      </c>
      <c r="L49" s="6" t="s">
        <v>20</v>
      </c>
      <c r="M49" s="6" t="s">
        <v>44</v>
      </c>
      <c r="N49" s="6">
        <f>Table14[[#This Row],[Quantity]]*Table14[[#This Row],[Unit_Price_INR]]</f>
        <v>11200</v>
      </c>
      <c r="O49" s="6">
        <f>Table14[[#This Row],[Gross sales]]*Table14[[#This Row],[Discount_Rate]]</f>
        <v>784.00000000000011</v>
      </c>
      <c r="P49" s="6">
        <f>Table14[[#This Row],[Gross sales]]-Table14[[#This Row],[Discount_Amount]]</f>
        <v>10416</v>
      </c>
      <c r="Q49" s="6" t="str">
        <f>TEXT(Table14[[#This Row],[Date]],"mmmm")</f>
        <v>May</v>
      </c>
      <c r="R49" s="9" t="str">
        <f>IF(OR(Table14[[#This Row],[Status]]="Pending",Table14[[#This Row],[Status]]="Refunded"),"Review","OK")</f>
        <v>OK</v>
      </c>
      <c r="S49" s="6" t="str">
        <f>IF(Table14[[#This Row],[Net_Sales]]&gt;25000,"High",IF(Table14[[#This Row],[Net_Sales]]&gt;10000,"Medium","Low"))</f>
        <v>Medium</v>
      </c>
      <c r="T49" s="6" t="b">
        <f>AND(Table14[[#This Row],[Quantity]]&gt;=5,Table14[[#This Row],[Discount_Rate]]&gt;=10%)</f>
        <v>0</v>
      </c>
      <c r="U49" s="6" t="b">
        <f>OR(Table14[[#This Row],[Payment_Method]]="UPI",Table14[[#This Row],[Payment_Method]]="Cash")</f>
        <v>0</v>
      </c>
      <c r="V49" s="6">
        <f>IFERROR(Table14[[#This Row],[Net_Sales]]/Table14[[#This Row],[Quantity]],"ERROR")</f>
        <v>5208</v>
      </c>
      <c r="W49" s="6" t="str">
        <f>PROPER(TRIM(Table14[[#This Row],[Customer_Name]]))</f>
        <v>Pine Traders</v>
      </c>
      <c r="X49" s="6" t="str">
        <f>PROPER(TRIM(Table14[[#This Row],[Region]]))</f>
        <v>East</v>
      </c>
      <c r="Y49" s="6">
        <f>YEAR(Table14[[#This Row],[Date]])</f>
        <v>2026</v>
      </c>
      <c r="Z49" s="6">
        <f>MONTH(Table14[[#This Row],[Date]])</f>
        <v>5</v>
      </c>
      <c r="AA49" s="6" t="str">
        <f>MID(Table14[[#This Row],[Transaction_ID]],4,7)</f>
        <v>1069</v>
      </c>
      <c r="AB49" s="6" t="str">
        <f>_xlfn.CONCAT(Table14[[#This Row],[Region]],"-",Table14[[#This Row],[Category]])</f>
        <v>East-Office</v>
      </c>
    </row>
    <row r="50" spans="1:28">
      <c r="A50" s="4" t="s">
        <v>45</v>
      </c>
      <c r="B50" s="5">
        <v>46029</v>
      </c>
      <c r="C50" s="6" t="s">
        <v>14</v>
      </c>
      <c r="D50" s="6" t="s">
        <v>24</v>
      </c>
      <c r="E50" s="6" t="s">
        <v>46</v>
      </c>
      <c r="F50" s="6" t="s">
        <v>47</v>
      </c>
      <c r="G50" s="6" t="s">
        <v>48</v>
      </c>
      <c r="H50" s="6">
        <v>5</v>
      </c>
      <c r="I50" s="7">
        <v>2400</v>
      </c>
      <c r="J50" s="8">
        <v>0.15</v>
      </c>
      <c r="K50" s="6" t="s">
        <v>28</v>
      </c>
      <c r="L50" s="6" t="s">
        <v>20</v>
      </c>
      <c r="M50" s="6" t="s">
        <v>21</v>
      </c>
      <c r="N50" s="6">
        <f>Table14[[#This Row],[Quantity]]*Table14[[#This Row],[Unit_Price_INR]]</f>
        <v>12000</v>
      </c>
      <c r="O50" s="6">
        <f>Table14[[#This Row],[Gross sales]]*Table14[[#This Row],[Discount_Rate]]</f>
        <v>1800</v>
      </c>
      <c r="P50" s="6">
        <f>Table14[[#This Row],[Gross sales]]-Table14[[#This Row],[Discount_Amount]]</f>
        <v>10200</v>
      </c>
      <c r="Q50" s="6" t="str">
        <f>TEXT(Table14[[#This Row],[Date]],"mmmm")</f>
        <v>January</v>
      </c>
      <c r="R50" s="9" t="str">
        <f>IF(OR(Table14[[#This Row],[Status]]="Pending",Table14[[#This Row],[Status]]="Refunded"),"Review","OK")</f>
        <v>OK</v>
      </c>
      <c r="S50" s="6" t="str">
        <f>IF(Table14[[#This Row],[Net_Sales]]&gt;25000,"High",IF(Table14[[#This Row],[Net_Sales]]&gt;10000,"Medium","Low"))</f>
        <v>Medium</v>
      </c>
      <c r="T50" s="6" t="b">
        <f>AND(Table14[[#This Row],[Quantity]]&gt;=5,Table14[[#This Row],[Discount_Rate]]&gt;=10%)</f>
        <v>1</v>
      </c>
      <c r="U50" s="6" t="b">
        <f>OR(Table14[[#This Row],[Payment_Method]]="UPI",Table14[[#This Row],[Payment_Method]]="Cash")</f>
        <v>0</v>
      </c>
      <c r="V50" s="6">
        <f>IFERROR(Table14[[#This Row],[Net_Sales]]/Table14[[#This Row],[Quantity]],"ERROR")</f>
        <v>2040</v>
      </c>
      <c r="W50" s="6" t="str">
        <f>PROPER(TRIM(Table14[[#This Row],[Customer_Name]]))</f>
        <v>Evergreen Shop</v>
      </c>
      <c r="X50" s="6" t="str">
        <f>PROPER(TRIM(Table14[[#This Row],[Region]]))</f>
        <v>North</v>
      </c>
      <c r="Y50" s="6">
        <f>YEAR(Table14[[#This Row],[Date]])</f>
        <v>2026</v>
      </c>
      <c r="Z50" s="6">
        <f>MONTH(Table14[[#This Row],[Date]])</f>
        <v>1</v>
      </c>
      <c r="AA50" s="6" t="str">
        <f>MID(Table14[[#This Row],[Transaction_ID]],4,7)</f>
        <v>1005</v>
      </c>
      <c r="AB50" s="6" t="str">
        <f>_xlfn.CONCAT(Table14[[#This Row],[Region]],"-",Table14[[#This Row],[Category]])</f>
        <v>North-Fashion</v>
      </c>
    </row>
    <row r="51" spans="1:28">
      <c r="A51" s="10" t="s">
        <v>209</v>
      </c>
      <c r="B51" s="11">
        <v>46138</v>
      </c>
      <c r="C51" s="12" t="s">
        <v>23</v>
      </c>
      <c r="D51" s="12" t="s">
        <v>24</v>
      </c>
      <c r="E51" s="12" t="s">
        <v>210</v>
      </c>
      <c r="F51" s="12" t="s">
        <v>26</v>
      </c>
      <c r="G51" s="12" t="s">
        <v>211</v>
      </c>
      <c r="H51" s="12">
        <v>6</v>
      </c>
      <c r="I51" s="13">
        <v>1750</v>
      </c>
      <c r="J51" s="14">
        <v>0.05</v>
      </c>
      <c r="K51" s="12" t="s">
        <v>28</v>
      </c>
      <c r="L51" s="12" t="s">
        <v>20</v>
      </c>
      <c r="M51" s="12" t="s">
        <v>52</v>
      </c>
      <c r="N51" s="6">
        <f>Table14[[#This Row],[Quantity]]*Table14[[#This Row],[Unit_Price_INR]]</f>
        <v>10500</v>
      </c>
      <c r="O51" s="6">
        <f>Table14[[#This Row],[Gross sales]]*Table14[[#This Row],[Discount_Rate]]</f>
        <v>525</v>
      </c>
      <c r="P51" s="6">
        <f>Table14[[#This Row],[Gross sales]]-Table14[[#This Row],[Discount_Amount]]</f>
        <v>9975</v>
      </c>
      <c r="Q51" s="6" t="str">
        <f>TEXT(Table14[[#This Row],[Date]],"mmmm")</f>
        <v>April</v>
      </c>
      <c r="R51" s="9" t="str">
        <f>IF(OR(Table14[[#This Row],[Status]]="Pending",Table14[[#This Row],[Status]]="Refunded"),"Review","OK")</f>
        <v>OK</v>
      </c>
      <c r="S51" s="6" t="str">
        <f>IF(Table14[[#This Row],[Net_Sales]]&gt;25000,"High",IF(Table14[[#This Row],[Net_Sales]]&gt;10000,"Medium","Low"))</f>
        <v>Low</v>
      </c>
      <c r="T51" s="6" t="b">
        <f>AND(Table14[[#This Row],[Quantity]]&gt;=5,Table14[[#This Row],[Discount_Rate]]&gt;=10%)</f>
        <v>0</v>
      </c>
      <c r="U51" s="6" t="b">
        <f>OR(Table14[[#This Row],[Payment_Method]]="UPI",Table14[[#This Row],[Payment_Method]]="Cash")</f>
        <v>0</v>
      </c>
      <c r="V51" s="6">
        <f>IFERROR(Table14[[#This Row],[Net_Sales]]/Table14[[#This Row],[Quantity]],"ERROR")</f>
        <v>1662.5</v>
      </c>
      <c r="W51" s="6" t="str">
        <f>PROPER(TRIM(Table14[[#This Row],[Customer_Name]]))</f>
        <v>Flint Retail</v>
      </c>
      <c r="X51" s="6" t="str">
        <f>PROPER(TRIM(Table14[[#This Row],[Region]]))</f>
        <v>South</v>
      </c>
      <c r="Y51" s="6">
        <f>YEAR(Table14[[#This Row],[Date]])</f>
        <v>2026</v>
      </c>
      <c r="Z51" s="6">
        <f>MONTH(Table14[[#This Row],[Date]])</f>
        <v>4</v>
      </c>
      <c r="AA51" s="6" t="str">
        <f>MID(Table14[[#This Row],[Transaction_ID]],4,7)</f>
        <v>1058</v>
      </c>
      <c r="AB51" s="6" t="str">
        <f>_xlfn.CONCAT(Table14[[#This Row],[Region]],"-",Table14[[#This Row],[Category]])</f>
        <v>South-Home</v>
      </c>
    </row>
    <row r="52" spans="1:28">
      <c r="A52" s="10" t="s">
        <v>112</v>
      </c>
      <c r="B52" s="11">
        <v>46067</v>
      </c>
      <c r="C52" s="12" t="s">
        <v>23</v>
      </c>
      <c r="D52" s="12" t="s">
        <v>15</v>
      </c>
      <c r="E52" s="12" t="s">
        <v>113</v>
      </c>
      <c r="F52" s="12" t="s">
        <v>41</v>
      </c>
      <c r="G52" s="12" t="s">
        <v>114</v>
      </c>
      <c r="H52" s="12">
        <v>12</v>
      </c>
      <c r="I52" s="13">
        <v>850</v>
      </c>
      <c r="J52" s="14">
        <v>0.03</v>
      </c>
      <c r="K52" s="12" t="s">
        <v>35</v>
      </c>
      <c r="L52" s="12" t="s">
        <v>20</v>
      </c>
      <c r="M52" s="12" t="s">
        <v>52</v>
      </c>
      <c r="N52" s="6">
        <f>Table14[[#This Row],[Quantity]]*Table14[[#This Row],[Unit_Price_INR]]</f>
        <v>10200</v>
      </c>
      <c r="O52" s="6">
        <f>Table14[[#This Row],[Gross sales]]*Table14[[#This Row],[Discount_Rate]]</f>
        <v>306</v>
      </c>
      <c r="P52" s="6">
        <f>Table14[[#This Row],[Gross sales]]-Table14[[#This Row],[Discount_Amount]]</f>
        <v>9894</v>
      </c>
      <c r="Q52" s="6" t="str">
        <f>TEXT(Table14[[#This Row],[Date]],"mmmm")</f>
        <v>February</v>
      </c>
      <c r="R52" s="9" t="str">
        <f>IF(OR(Table14[[#This Row],[Status]]="Pending",Table14[[#This Row],[Status]]="Refunded"),"Review","OK")</f>
        <v>OK</v>
      </c>
      <c r="S52" s="6" t="str">
        <f>IF(Table14[[#This Row],[Net_Sales]]&gt;25000,"High",IF(Table14[[#This Row],[Net_Sales]]&gt;10000,"Medium","Low"))</f>
        <v>Low</v>
      </c>
      <c r="T52" s="6" t="b">
        <f>AND(Table14[[#This Row],[Quantity]]&gt;=5,Table14[[#This Row],[Discount_Rate]]&gt;=10%)</f>
        <v>0</v>
      </c>
      <c r="U52" s="6" t="b">
        <f>OR(Table14[[#This Row],[Payment_Method]]="UPI",Table14[[#This Row],[Payment_Method]]="Cash")</f>
        <v>1</v>
      </c>
      <c r="V52" s="6">
        <f>IFERROR(Table14[[#This Row],[Net_Sales]]/Table14[[#This Row],[Quantity]],"ERROR")</f>
        <v>824.5</v>
      </c>
      <c r="W52" s="6" t="str">
        <f>PROPER(TRIM(Table14[[#This Row],[Customer_Name]]))</f>
        <v>Zenith Shop</v>
      </c>
      <c r="X52" s="6" t="str">
        <f>PROPER(TRIM(Table14[[#This Row],[Region]]))</f>
        <v>South</v>
      </c>
      <c r="Y52" s="6">
        <f>YEAR(Table14[[#This Row],[Date]])</f>
        <v>2026</v>
      </c>
      <c r="Z52" s="6">
        <f>MONTH(Table14[[#This Row],[Date]])</f>
        <v>2</v>
      </c>
      <c r="AA52" s="6" t="str">
        <f>MID(Table14[[#This Row],[Transaction_ID]],4,7)</f>
        <v>1026</v>
      </c>
      <c r="AB52" s="6" t="str">
        <f>_xlfn.CONCAT(Table14[[#This Row],[Region]],"-",Table14[[#This Row],[Category]])</f>
        <v>South-Office</v>
      </c>
    </row>
    <row r="53" spans="1:28">
      <c r="A53" s="10" t="s">
        <v>82</v>
      </c>
      <c r="B53" s="11">
        <v>46047</v>
      </c>
      <c r="C53" s="12" t="s">
        <v>38</v>
      </c>
      <c r="D53" s="12" t="s">
        <v>24</v>
      </c>
      <c r="E53" s="12" t="s">
        <v>83</v>
      </c>
      <c r="F53" s="12" t="s">
        <v>47</v>
      </c>
      <c r="G53" s="12" t="s">
        <v>84</v>
      </c>
      <c r="H53" s="12">
        <v>7</v>
      </c>
      <c r="I53" s="13">
        <v>1500</v>
      </c>
      <c r="J53" s="14">
        <v>0.1</v>
      </c>
      <c r="K53" s="12" t="s">
        <v>19</v>
      </c>
      <c r="L53" s="12" t="s">
        <v>20</v>
      </c>
      <c r="M53" s="12" t="s">
        <v>44</v>
      </c>
      <c r="N53" s="6">
        <f>Table14[[#This Row],[Quantity]]*Table14[[#This Row],[Unit_Price_INR]]</f>
        <v>10500</v>
      </c>
      <c r="O53" s="6">
        <f>Table14[[#This Row],[Gross sales]]*Table14[[#This Row],[Discount_Rate]]</f>
        <v>1050</v>
      </c>
      <c r="P53" s="6">
        <f>Table14[[#This Row],[Gross sales]]-Table14[[#This Row],[Discount_Amount]]</f>
        <v>9450</v>
      </c>
      <c r="Q53" s="6" t="str">
        <f>TEXT(Table14[[#This Row],[Date]],"mmmm")</f>
        <v>January</v>
      </c>
      <c r="R53" s="9" t="str">
        <f>IF(OR(Table14[[#This Row],[Status]]="Pending",Table14[[#This Row],[Status]]="Refunded"),"Review","OK")</f>
        <v>OK</v>
      </c>
      <c r="S53" s="6" t="str">
        <f>IF(Table14[[#This Row],[Net_Sales]]&gt;25000,"High",IF(Table14[[#This Row],[Net_Sales]]&gt;10000,"Medium","Low"))</f>
        <v>Low</v>
      </c>
      <c r="T53" s="6" t="b">
        <f>AND(Table14[[#This Row],[Quantity]]&gt;=5,Table14[[#This Row],[Discount_Rate]]&gt;=10%)</f>
        <v>1</v>
      </c>
      <c r="U53" s="6" t="b">
        <f>OR(Table14[[#This Row],[Payment_Method]]="UPI",Table14[[#This Row],[Payment_Method]]="Cash")</f>
        <v>1</v>
      </c>
      <c r="V53" s="6">
        <f>IFERROR(Table14[[#This Row],[Net_Sales]]/Table14[[#This Row],[Quantity]],"ERROR")</f>
        <v>1350</v>
      </c>
      <c r="W53" s="6" t="str">
        <f>PROPER(TRIM(Table14[[#This Row],[Customer_Name]]))</f>
        <v>Prime Retail</v>
      </c>
      <c r="X53" s="6" t="str">
        <f>PROPER(TRIM(Table14[[#This Row],[Region]]))</f>
        <v>East</v>
      </c>
      <c r="Y53" s="6">
        <f>YEAR(Table14[[#This Row],[Date]])</f>
        <v>2026</v>
      </c>
      <c r="Z53" s="6">
        <f>MONTH(Table14[[#This Row],[Date]])</f>
        <v>1</v>
      </c>
      <c r="AA53" s="6" t="str">
        <f>MID(Table14[[#This Row],[Transaction_ID]],4,7)</f>
        <v>1016</v>
      </c>
      <c r="AB53" s="6" t="str">
        <f>_xlfn.CONCAT(Table14[[#This Row],[Region]],"-",Table14[[#This Row],[Category]])</f>
        <v>East-Fashion</v>
      </c>
    </row>
    <row r="54" spans="1:28">
      <c r="A54" s="4" t="s">
        <v>264</v>
      </c>
      <c r="B54" s="5">
        <v>46172</v>
      </c>
      <c r="C54" s="6" t="s">
        <v>38</v>
      </c>
      <c r="D54" s="6" t="s">
        <v>39</v>
      </c>
      <c r="E54" s="6" t="s">
        <v>265</v>
      </c>
      <c r="F54" s="6" t="s">
        <v>26</v>
      </c>
      <c r="G54" s="6" t="s">
        <v>266</v>
      </c>
      <c r="H54" s="6">
        <v>2</v>
      </c>
      <c r="I54" s="7">
        <v>4800</v>
      </c>
      <c r="J54" s="8">
        <v>0.06</v>
      </c>
      <c r="K54" s="6" t="s">
        <v>43</v>
      </c>
      <c r="L54" s="6" t="s">
        <v>20</v>
      </c>
      <c r="M54" s="6" t="s">
        <v>44</v>
      </c>
      <c r="N54" s="6">
        <f>Table14[[#This Row],[Quantity]]*Table14[[#This Row],[Unit_Price_INR]]</f>
        <v>9600</v>
      </c>
      <c r="O54" s="6">
        <f>Table14[[#This Row],[Gross sales]]*Table14[[#This Row],[Discount_Rate]]</f>
        <v>576</v>
      </c>
      <c r="P54" s="6">
        <f>Table14[[#This Row],[Gross sales]]-Table14[[#This Row],[Discount_Amount]]</f>
        <v>9024</v>
      </c>
      <c r="Q54" s="6" t="str">
        <f>TEXT(Table14[[#This Row],[Date]],"mmmm")</f>
        <v>May</v>
      </c>
      <c r="R54" s="9" t="str">
        <f>IF(OR(Table14[[#This Row],[Status]]="Pending",Table14[[#This Row],[Status]]="Refunded"),"Review","OK")</f>
        <v>OK</v>
      </c>
      <c r="S54" s="6" t="str">
        <f>IF(Table14[[#This Row],[Net_Sales]]&gt;25000,"High",IF(Table14[[#This Row],[Net_Sales]]&gt;10000,"Medium","Low"))</f>
        <v>Low</v>
      </c>
      <c r="T54" s="6" t="b">
        <f>AND(Table14[[#This Row],[Quantity]]&gt;=5,Table14[[#This Row],[Discount_Rate]]&gt;=10%)</f>
        <v>0</v>
      </c>
      <c r="U54" s="6" t="b">
        <f>OR(Table14[[#This Row],[Payment_Method]]="UPI",Table14[[#This Row],[Payment_Method]]="Cash")</f>
        <v>0</v>
      </c>
      <c r="V54" s="6">
        <f>IFERROR(Table14[[#This Row],[Net_Sales]]/Table14[[#This Row],[Quantity]],"ERROR")</f>
        <v>4512</v>
      </c>
      <c r="W54" s="6" t="str">
        <f>PROPER(TRIM(Table14[[#This Row],[Customer_Name]]))</f>
        <v>Xylem Traders</v>
      </c>
      <c r="X54" s="6" t="str">
        <f>PROPER(TRIM(Table14[[#This Row],[Region]]))</f>
        <v>East</v>
      </c>
      <c r="Y54" s="6">
        <f>YEAR(Table14[[#This Row],[Date]])</f>
        <v>2026</v>
      </c>
      <c r="Z54" s="6">
        <f>MONTH(Table14[[#This Row],[Date]])</f>
        <v>5</v>
      </c>
      <c r="AA54" s="6" t="str">
        <f>MID(Table14[[#This Row],[Transaction_ID]],4,7)</f>
        <v>1077</v>
      </c>
      <c r="AB54" s="6" t="str">
        <f>_xlfn.CONCAT(Table14[[#This Row],[Region]],"-",Table14[[#This Row],[Category]])</f>
        <v>East-Home</v>
      </c>
    </row>
    <row r="55" spans="1:28">
      <c r="A55" s="10" t="s">
        <v>131</v>
      </c>
      <c r="B55" s="11">
        <v>46084</v>
      </c>
      <c r="C55" s="12" t="s">
        <v>38</v>
      </c>
      <c r="D55" s="12" t="s">
        <v>15</v>
      </c>
      <c r="E55" s="12" t="s">
        <v>132</v>
      </c>
      <c r="F55" s="12" t="s">
        <v>33</v>
      </c>
      <c r="G55" s="12" t="s">
        <v>133</v>
      </c>
      <c r="H55" s="12">
        <v>16</v>
      </c>
      <c r="I55" s="13">
        <v>540</v>
      </c>
      <c r="J55" s="14">
        <v>0.02</v>
      </c>
      <c r="K55" s="12" t="s">
        <v>19</v>
      </c>
      <c r="L55" s="12" t="s">
        <v>20</v>
      </c>
      <c r="M55" s="12" t="s">
        <v>44</v>
      </c>
      <c r="N55" s="6">
        <f>Table14[[#This Row],[Quantity]]*Table14[[#This Row],[Unit_Price_INR]]</f>
        <v>8640</v>
      </c>
      <c r="O55" s="6">
        <f>Table14[[#This Row],[Gross sales]]*Table14[[#This Row],[Discount_Rate]]</f>
        <v>172.8</v>
      </c>
      <c r="P55" s="6">
        <f>Table14[[#This Row],[Gross sales]]-Table14[[#This Row],[Discount_Amount]]</f>
        <v>8467.2000000000007</v>
      </c>
      <c r="Q55" s="6" t="str">
        <f>TEXT(Table14[[#This Row],[Date]],"mmmm")</f>
        <v>March</v>
      </c>
      <c r="R55" s="9" t="str">
        <f>IF(OR(Table14[[#This Row],[Status]]="Pending",Table14[[#This Row],[Status]]="Refunded"),"Review","OK")</f>
        <v>OK</v>
      </c>
      <c r="S55" s="6" t="str">
        <f>IF(Table14[[#This Row],[Net_Sales]]&gt;25000,"High",IF(Table14[[#This Row],[Net_Sales]]&gt;10000,"Medium","Low"))</f>
        <v>Low</v>
      </c>
      <c r="T55" s="6" t="b">
        <f>AND(Table14[[#This Row],[Quantity]]&gt;=5,Table14[[#This Row],[Discount_Rate]]&gt;=10%)</f>
        <v>0</v>
      </c>
      <c r="U55" s="6" t="b">
        <f>OR(Table14[[#This Row],[Payment_Method]]="UPI",Table14[[#This Row],[Payment_Method]]="Cash")</f>
        <v>1</v>
      </c>
      <c r="V55" s="6">
        <f>IFERROR(Table14[[#This Row],[Net_Sales]]/Table14[[#This Row],[Quantity]],"ERROR")</f>
        <v>529.20000000000005</v>
      </c>
      <c r="W55" s="6" t="str">
        <f>PROPER(TRIM(Table14[[#This Row],[Customer_Name]]))</f>
        <v>Fern Stores</v>
      </c>
      <c r="X55" s="6" t="str">
        <f>PROPER(TRIM(Table14[[#This Row],[Region]]))</f>
        <v>East</v>
      </c>
      <c r="Y55" s="6">
        <f>YEAR(Table14[[#This Row],[Date]])</f>
        <v>2026</v>
      </c>
      <c r="Z55" s="6">
        <f>MONTH(Table14[[#This Row],[Date]])</f>
        <v>3</v>
      </c>
      <c r="AA55" s="6" t="str">
        <f>MID(Table14[[#This Row],[Transaction_ID]],4,7)</f>
        <v>1032</v>
      </c>
      <c r="AB55" s="6" t="str">
        <f>_xlfn.CONCAT(Table14[[#This Row],[Region]],"-",Table14[[#This Row],[Category]])</f>
        <v>East-Grocery</v>
      </c>
    </row>
    <row r="56" spans="1:28">
      <c r="A56" s="4" t="s">
        <v>225</v>
      </c>
      <c r="B56" s="5">
        <v>46147</v>
      </c>
      <c r="C56" s="6" t="s">
        <v>31</v>
      </c>
      <c r="D56" s="6" t="s">
        <v>39</v>
      </c>
      <c r="E56" s="6" t="s">
        <v>226</v>
      </c>
      <c r="F56" s="6" t="s">
        <v>41</v>
      </c>
      <c r="G56" s="6" t="s">
        <v>227</v>
      </c>
      <c r="H56" s="6">
        <v>7</v>
      </c>
      <c r="I56" s="7">
        <v>1250</v>
      </c>
      <c r="J56" s="8">
        <v>0.04</v>
      </c>
      <c r="K56" s="6" t="s">
        <v>43</v>
      </c>
      <c r="L56" s="6" t="s">
        <v>56</v>
      </c>
      <c r="M56" s="6" t="s">
        <v>36</v>
      </c>
      <c r="N56" s="6">
        <f>Table14[[#This Row],[Quantity]]*Table14[[#This Row],[Unit_Price_INR]]</f>
        <v>8750</v>
      </c>
      <c r="O56" s="6">
        <f>Table14[[#This Row],[Gross sales]]*Table14[[#This Row],[Discount_Rate]]</f>
        <v>350</v>
      </c>
      <c r="P56" s="6">
        <f>Table14[[#This Row],[Gross sales]]-Table14[[#This Row],[Discount_Amount]]</f>
        <v>8400</v>
      </c>
      <c r="Q56" s="6" t="str">
        <f>TEXT(Table14[[#This Row],[Date]],"mmmm")</f>
        <v>May</v>
      </c>
      <c r="R56" s="9" t="str">
        <f>IF(OR(Table14[[#This Row],[Status]]="Pending",Table14[[#This Row],[Status]]="Refunded"),"Review","OK")</f>
        <v>Review</v>
      </c>
      <c r="S56" s="6" t="str">
        <f>IF(Table14[[#This Row],[Net_Sales]]&gt;25000,"High",IF(Table14[[#This Row],[Net_Sales]]&gt;10000,"Medium","Low"))</f>
        <v>Low</v>
      </c>
      <c r="T56" s="6" t="b">
        <f>AND(Table14[[#This Row],[Quantity]]&gt;=5,Table14[[#This Row],[Discount_Rate]]&gt;=10%)</f>
        <v>0</v>
      </c>
      <c r="U56" s="6" t="b">
        <f>OR(Table14[[#This Row],[Payment_Method]]="UPI",Table14[[#This Row],[Payment_Method]]="Cash")</f>
        <v>0</v>
      </c>
      <c r="V56" s="6">
        <f>IFERROR(Table14[[#This Row],[Net_Sales]]/Table14[[#This Row],[Quantity]],"ERROR")</f>
        <v>1200</v>
      </c>
      <c r="W56" s="6" t="str">
        <f>PROPER(TRIM(Table14[[#This Row],[Customer_Name]]))</f>
        <v>Keystone Traders</v>
      </c>
      <c r="X56" s="6" t="str">
        <f>PROPER(TRIM(Table14[[#This Row],[Region]]))</f>
        <v>West</v>
      </c>
      <c r="Y56" s="6">
        <f>YEAR(Table14[[#This Row],[Date]])</f>
        <v>2026</v>
      </c>
      <c r="Z56" s="6">
        <f>MONTH(Table14[[#This Row],[Date]])</f>
        <v>5</v>
      </c>
      <c r="AA56" s="6" t="str">
        <f>MID(Table14[[#This Row],[Transaction_ID]],4,7)</f>
        <v>1063</v>
      </c>
      <c r="AB56" s="6" t="str">
        <f>_xlfn.CONCAT(Table14[[#This Row],[Region]],"-",Table14[[#This Row],[Category]])</f>
        <v>West-Office</v>
      </c>
    </row>
    <row r="57" spans="1:28">
      <c r="A57" s="4" t="s">
        <v>146</v>
      </c>
      <c r="B57" s="5">
        <v>46093</v>
      </c>
      <c r="C57" s="6" t="s">
        <v>14</v>
      </c>
      <c r="D57" s="6" t="s">
        <v>24</v>
      </c>
      <c r="E57" s="6" t="s">
        <v>147</v>
      </c>
      <c r="F57" s="6" t="s">
        <v>33</v>
      </c>
      <c r="G57" s="6" t="s">
        <v>148</v>
      </c>
      <c r="H57" s="6">
        <v>8</v>
      </c>
      <c r="I57" s="7">
        <v>950</v>
      </c>
      <c r="J57" s="8">
        <v>0.05</v>
      </c>
      <c r="K57" s="6" t="s">
        <v>28</v>
      </c>
      <c r="L57" s="6" t="s">
        <v>20</v>
      </c>
      <c r="M57" s="6" t="s">
        <v>21</v>
      </c>
      <c r="N57" s="6">
        <f>Table14[[#This Row],[Quantity]]*Table14[[#This Row],[Unit_Price_INR]]</f>
        <v>7600</v>
      </c>
      <c r="O57" s="6">
        <f>Table14[[#This Row],[Gross sales]]*Table14[[#This Row],[Discount_Rate]]</f>
        <v>380</v>
      </c>
      <c r="P57" s="6">
        <f>Table14[[#This Row],[Gross sales]]-Table14[[#This Row],[Discount_Amount]]</f>
        <v>7220</v>
      </c>
      <c r="Q57" s="6" t="str">
        <f>TEXT(Table14[[#This Row],[Date]],"mmmm")</f>
        <v>March</v>
      </c>
      <c r="R57" s="9" t="str">
        <f>IF(OR(Table14[[#This Row],[Status]]="Pending",Table14[[#This Row],[Status]]="Refunded"),"Review","OK")</f>
        <v>OK</v>
      </c>
      <c r="S57" s="6" t="str">
        <f>IF(Table14[[#This Row],[Net_Sales]]&gt;25000,"High",IF(Table14[[#This Row],[Net_Sales]]&gt;10000,"Medium","Low"))</f>
        <v>Low</v>
      </c>
      <c r="T57" s="6" t="b">
        <f>AND(Table14[[#This Row],[Quantity]]&gt;=5,Table14[[#This Row],[Discount_Rate]]&gt;=10%)</f>
        <v>0</v>
      </c>
      <c r="U57" s="6" t="b">
        <f>OR(Table14[[#This Row],[Payment_Method]]="UPI",Table14[[#This Row],[Payment_Method]]="Cash")</f>
        <v>0</v>
      </c>
      <c r="V57" s="6">
        <f>IFERROR(Table14[[#This Row],[Net_Sales]]/Table14[[#This Row],[Quantity]],"ERROR")</f>
        <v>902.5</v>
      </c>
      <c r="W57" s="6" t="str">
        <f>PROPER(TRIM(Table14[[#This Row],[Customer_Name]]))</f>
        <v>Kite Store</v>
      </c>
      <c r="X57" s="6" t="str">
        <f>PROPER(TRIM(Table14[[#This Row],[Region]]))</f>
        <v>North</v>
      </c>
      <c r="Y57" s="6">
        <f>YEAR(Table14[[#This Row],[Date]])</f>
        <v>2026</v>
      </c>
      <c r="Z57" s="6">
        <f>MONTH(Table14[[#This Row],[Date]])</f>
        <v>3</v>
      </c>
      <c r="AA57" s="6" t="str">
        <f>MID(Table14[[#This Row],[Transaction_ID]],4,7)</f>
        <v>1037</v>
      </c>
      <c r="AB57" s="6" t="str">
        <f>_xlfn.CONCAT(Table14[[#This Row],[Region]],"-",Table14[[#This Row],[Category]])</f>
        <v>North-Grocery</v>
      </c>
    </row>
    <row r="58" spans="1:28">
      <c r="A58" s="4" t="s">
        <v>258</v>
      </c>
      <c r="B58" s="5">
        <v>46168</v>
      </c>
      <c r="C58" s="6" t="s">
        <v>23</v>
      </c>
      <c r="D58" s="6" t="s">
        <v>24</v>
      </c>
      <c r="E58" s="6" t="s">
        <v>259</v>
      </c>
      <c r="F58" s="6" t="s">
        <v>41</v>
      </c>
      <c r="G58" s="6" t="s">
        <v>260</v>
      </c>
      <c r="H58" s="6">
        <v>8</v>
      </c>
      <c r="I58" s="7">
        <v>950</v>
      </c>
      <c r="J58" s="8">
        <v>0.05</v>
      </c>
      <c r="K58" s="6" t="s">
        <v>28</v>
      </c>
      <c r="L58" s="6" t="s">
        <v>20</v>
      </c>
      <c r="M58" s="6" t="s">
        <v>52</v>
      </c>
      <c r="N58" s="6">
        <f>Table14[[#This Row],[Quantity]]*Table14[[#This Row],[Unit_Price_INR]]</f>
        <v>7600</v>
      </c>
      <c r="O58" s="6">
        <f>Table14[[#This Row],[Gross sales]]*Table14[[#This Row],[Discount_Rate]]</f>
        <v>380</v>
      </c>
      <c r="P58" s="6">
        <f>Table14[[#This Row],[Gross sales]]-Table14[[#This Row],[Discount_Amount]]</f>
        <v>7220</v>
      </c>
      <c r="Q58" s="6" t="str">
        <f>TEXT(Table14[[#This Row],[Date]],"mmmm")</f>
        <v>May</v>
      </c>
      <c r="R58" s="9" t="str">
        <f>IF(OR(Table14[[#This Row],[Status]]="Pending",Table14[[#This Row],[Status]]="Refunded"),"Review","OK")</f>
        <v>OK</v>
      </c>
      <c r="S58" s="6" t="str">
        <f>IF(Table14[[#This Row],[Net_Sales]]&gt;25000,"High",IF(Table14[[#This Row],[Net_Sales]]&gt;10000,"Medium","Low"))</f>
        <v>Low</v>
      </c>
      <c r="T58" s="6" t="b">
        <f>AND(Table14[[#This Row],[Quantity]]&gt;=5,Table14[[#This Row],[Discount_Rate]]&gt;=10%)</f>
        <v>0</v>
      </c>
      <c r="U58" s="6" t="b">
        <f>OR(Table14[[#This Row],[Payment_Method]]="UPI",Table14[[#This Row],[Payment_Method]]="Cash")</f>
        <v>0</v>
      </c>
      <c r="V58" s="6">
        <f>IFERROR(Table14[[#This Row],[Net_Sales]]/Table14[[#This Row],[Quantity]],"ERROR")</f>
        <v>902.5</v>
      </c>
      <c r="W58" s="6" t="str">
        <f>PROPER(TRIM(Table14[[#This Row],[Customer_Name]]))</f>
        <v>Vale Shop</v>
      </c>
      <c r="X58" s="6" t="str">
        <f>PROPER(TRIM(Table14[[#This Row],[Region]]))</f>
        <v>South</v>
      </c>
      <c r="Y58" s="6">
        <f>YEAR(Table14[[#This Row],[Date]])</f>
        <v>2026</v>
      </c>
      <c r="Z58" s="6">
        <f>MONTH(Table14[[#This Row],[Date]])</f>
        <v>5</v>
      </c>
      <c r="AA58" s="6" t="str">
        <f>MID(Table14[[#This Row],[Transaction_ID]],4,7)</f>
        <v>1075</v>
      </c>
      <c r="AB58" s="6" t="str">
        <f>_xlfn.CONCAT(Table14[[#This Row],[Region]],"-",Table14[[#This Row],[Category]])</f>
        <v>South-Office</v>
      </c>
    </row>
    <row r="59" spans="1:28">
      <c r="A59" s="10" t="s">
        <v>185</v>
      </c>
      <c r="B59" s="11">
        <v>46122</v>
      </c>
      <c r="C59" s="12" t="s">
        <v>23</v>
      </c>
      <c r="D59" s="12" t="s">
        <v>15</v>
      </c>
      <c r="E59" s="12" t="s">
        <v>186</v>
      </c>
      <c r="F59" s="12" t="s">
        <v>41</v>
      </c>
      <c r="G59" s="12" t="s">
        <v>187</v>
      </c>
      <c r="H59" s="12">
        <v>30</v>
      </c>
      <c r="I59" s="13">
        <v>220</v>
      </c>
      <c r="J59" s="14">
        <v>0</v>
      </c>
      <c r="K59" s="12" t="s">
        <v>35</v>
      </c>
      <c r="L59" s="12" t="s">
        <v>20</v>
      </c>
      <c r="M59" s="12" t="s">
        <v>52</v>
      </c>
      <c r="N59" s="6">
        <f>Table14[[#This Row],[Quantity]]*Table14[[#This Row],[Unit_Price_INR]]</f>
        <v>6600</v>
      </c>
      <c r="O59" s="6">
        <f>Table14[[#This Row],[Gross sales]]*Table14[[#This Row],[Discount_Rate]]</f>
        <v>0</v>
      </c>
      <c r="P59" s="6">
        <f>Table14[[#This Row],[Gross sales]]-Table14[[#This Row],[Discount_Amount]]</f>
        <v>6600</v>
      </c>
      <c r="Q59" s="6" t="str">
        <f>TEXT(Table14[[#This Row],[Date]],"mmmm")</f>
        <v>April</v>
      </c>
      <c r="R59" s="9" t="str">
        <f>IF(OR(Table14[[#This Row],[Status]]="Pending",Table14[[#This Row],[Status]]="Refunded"),"Review","OK")</f>
        <v>OK</v>
      </c>
      <c r="S59" s="6" t="str">
        <f>IF(Table14[[#This Row],[Net_Sales]]&gt;25000,"High",IF(Table14[[#This Row],[Net_Sales]]&gt;10000,"Medium","Low"))</f>
        <v>Low</v>
      </c>
      <c r="T59" s="6" t="b">
        <f>AND(Table14[[#This Row],[Quantity]]&gt;=5,Table14[[#This Row],[Discount_Rate]]&gt;=10%)</f>
        <v>0</v>
      </c>
      <c r="U59" s="6" t="b">
        <f>OR(Table14[[#This Row],[Payment_Method]]="UPI",Table14[[#This Row],[Payment_Method]]="Cash")</f>
        <v>1</v>
      </c>
      <c r="V59" s="6">
        <f>IFERROR(Table14[[#This Row],[Net_Sales]]/Table14[[#This Row],[Quantity]],"ERROR")</f>
        <v>220</v>
      </c>
      <c r="W59" s="6" t="str">
        <f>PROPER(TRIM(Table14[[#This Row],[Customer_Name]]))</f>
        <v>Xenia Stores</v>
      </c>
      <c r="X59" s="6" t="str">
        <f>PROPER(TRIM(Table14[[#This Row],[Region]]))</f>
        <v>South</v>
      </c>
      <c r="Y59" s="6">
        <f>YEAR(Table14[[#This Row],[Date]])</f>
        <v>2026</v>
      </c>
      <c r="Z59" s="6">
        <f>MONTH(Table14[[#This Row],[Date]])</f>
        <v>4</v>
      </c>
      <c r="AA59" s="6" t="str">
        <f>MID(Table14[[#This Row],[Transaction_ID]],4,7)</f>
        <v>1050</v>
      </c>
      <c r="AB59" s="6" t="str">
        <f>_xlfn.CONCAT(Table14[[#This Row],[Region]],"-",Table14[[#This Row],[Category]])</f>
        <v>South-Office</v>
      </c>
    </row>
    <row r="60" spans="1:28">
      <c r="A60" s="10" t="s">
        <v>222</v>
      </c>
      <c r="B60" s="11">
        <v>46145</v>
      </c>
      <c r="C60" s="12" t="s">
        <v>23</v>
      </c>
      <c r="D60" s="12" t="s">
        <v>15</v>
      </c>
      <c r="E60" s="12" t="s">
        <v>223</v>
      </c>
      <c r="F60" s="12" t="s">
        <v>26</v>
      </c>
      <c r="G60" s="12" t="s">
        <v>224</v>
      </c>
      <c r="H60" s="12">
        <v>4</v>
      </c>
      <c r="I60" s="13">
        <v>1650</v>
      </c>
      <c r="J60" s="14">
        <v>0.08</v>
      </c>
      <c r="K60" s="12" t="s">
        <v>28</v>
      </c>
      <c r="L60" s="12" t="s">
        <v>20</v>
      </c>
      <c r="M60" s="12" t="s">
        <v>52</v>
      </c>
      <c r="N60" s="6">
        <f>Table14[[#This Row],[Quantity]]*Table14[[#This Row],[Unit_Price_INR]]</f>
        <v>6600</v>
      </c>
      <c r="O60" s="6">
        <f>Table14[[#This Row],[Gross sales]]*Table14[[#This Row],[Discount_Rate]]</f>
        <v>528</v>
      </c>
      <c r="P60" s="6">
        <f>Table14[[#This Row],[Gross sales]]-Table14[[#This Row],[Discount_Amount]]</f>
        <v>6072</v>
      </c>
      <c r="Q60" s="6" t="str">
        <f>TEXT(Table14[[#This Row],[Date]],"mmmm")</f>
        <v>May</v>
      </c>
      <c r="R60" s="9" t="str">
        <f>IF(OR(Table14[[#This Row],[Status]]="Pending",Table14[[#This Row],[Status]]="Refunded"),"Review","OK")</f>
        <v>OK</v>
      </c>
      <c r="S60" s="6" t="str">
        <f>IF(Table14[[#This Row],[Net_Sales]]&gt;25000,"High",IF(Table14[[#This Row],[Net_Sales]]&gt;10000,"Medium","Low"))</f>
        <v>Low</v>
      </c>
      <c r="T60" s="6" t="b">
        <f>AND(Table14[[#This Row],[Quantity]]&gt;=5,Table14[[#This Row],[Discount_Rate]]&gt;=10%)</f>
        <v>0</v>
      </c>
      <c r="U60" s="6" t="b">
        <f>OR(Table14[[#This Row],[Payment_Method]]="UPI",Table14[[#This Row],[Payment_Method]]="Cash")</f>
        <v>0</v>
      </c>
      <c r="V60" s="6">
        <f>IFERROR(Table14[[#This Row],[Net_Sales]]/Table14[[#This Row],[Quantity]],"ERROR")</f>
        <v>1518</v>
      </c>
      <c r="W60" s="6" t="str">
        <f>PROPER(TRIM(Table14[[#This Row],[Customer_Name]]))</f>
        <v>Jade Stores</v>
      </c>
      <c r="X60" s="6" t="str">
        <f>PROPER(TRIM(Table14[[#This Row],[Region]]))</f>
        <v>South</v>
      </c>
      <c r="Y60" s="6">
        <f>YEAR(Table14[[#This Row],[Date]])</f>
        <v>2026</v>
      </c>
      <c r="Z60" s="6">
        <f>MONTH(Table14[[#This Row],[Date]])</f>
        <v>5</v>
      </c>
      <c r="AA60" s="6" t="str">
        <f>MID(Table14[[#This Row],[Transaction_ID]],4,7)</f>
        <v>1062</v>
      </c>
      <c r="AB60" s="6" t="str">
        <f>_xlfn.CONCAT(Table14[[#This Row],[Region]],"-",Table14[[#This Row],[Category]])</f>
        <v>South-Home</v>
      </c>
    </row>
    <row r="61" spans="1:28">
      <c r="A61" s="10" t="s">
        <v>161</v>
      </c>
      <c r="B61" s="11">
        <v>46104</v>
      </c>
      <c r="C61" s="12" t="s">
        <v>23</v>
      </c>
      <c r="D61" s="12" t="s">
        <v>39</v>
      </c>
      <c r="E61" s="12" t="s">
        <v>162</v>
      </c>
      <c r="F61" s="12" t="s">
        <v>33</v>
      </c>
      <c r="G61" s="12" t="s">
        <v>163</v>
      </c>
      <c r="H61" s="12">
        <v>22</v>
      </c>
      <c r="I61" s="13">
        <v>260</v>
      </c>
      <c r="J61" s="14">
        <v>0</v>
      </c>
      <c r="K61" s="12" t="s">
        <v>43</v>
      </c>
      <c r="L61" s="12" t="s">
        <v>20</v>
      </c>
      <c r="M61" s="12" t="s">
        <v>29</v>
      </c>
      <c r="N61" s="6">
        <f>Table14[[#This Row],[Quantity]]*Table14[[#This Row],[Unit_Price_INR]]</f>
        <v>5720</v>
      </c>
      <c r="O61" s="6">
        <f>Table14[[#This Row],[Gross sales]]*Table14[[#This Row],[Discount_Rate]]</f>
        <v>0</v>
      </c>
      <c r="P61" s="6">
        <f>Table14[[#This Row],[Gross sales]]-Table14[[#This Row],[Discount_Amount]]</f>
        <v>5720</v>
      </c>
      <c r="Q61" s="6" t="str">
        <f>TEXT(Table14[[#This Row],[Date]],"mmmm")</f>
        <v>March</v>
      </c>
      <c r="R61" s="9" t="str">
        <f>IF(OR(Table14[[#This Row],[Status]]="Pending",Table14[[#This Row],[Status]]="Refunded"),"Review","OK")</f>
        <v>OK</v>
      </c>
      <c r="S61" s="6" t="str">
        <f>IF(Table14[[#This Row],[Net_Sales]]&gt;25000,"High",IF(Table14[[#This Row],[Net_Sales]]&gt;10000,"Medium","Low"))</f>
        <v>Low</v>
      </c>
      <c r="T61" s="6" t="b">
        <f>AND(Table14[[#This Row],[Quantity]]&gt;=5,Table14[[#This Row],[Discount_Rate]]&gt;=10%)</f>
        <v>0</v>
      </c>
      <c r="U61" s="6" t="b">
        <f>OR(Table14[[#This Row],[Payment_Method]]="UPI",Table14[[#This Row],[Payment_Method]]="Cash")</f>
        <v>0</v>
      </c>
      <c r="V61" s="6">
        <f>IFERROR(Table14[[#This Row],[Net_Sales]]/Table14[[#This Row],[Quantity]],"ERROR")</f>
        <v>260</v>
      </c>
      <c r="W61" s="6" t="str">
        <f>PROPER(TRIM(Table14[[#This Row],[Customer_Name]]))</f>
        <v>Pioneer Distributors</v>
      </c>
      <c r="X61" s="6" t="str">
        <f>PROPER(TRIM(Table14[[#This Row],[Region]]))</f>
        <v>South</v>
      </c>
      <c r="Y61" s="6">
        <f>YEAR(Table14[[#This Row],[Date]])</f>
        <v>2026</v>
      </c>
      <c r="Z61" s="6">
        <f>MONTH(Table14[[#This Row],[Date]])</f>
        <v>3</v>
      </c>
      <c r="AA61" s="6" t="str">
        <f>MID(Table14[[#This Row],[Transaction_ID]],4,7)</f>
        <v>1042</v>
      </c>
      <c r="AB61" s="6" t="str">
        <f>_xlfn.CONCAT(Table14[[#This Row],[Region]],"-",Table14[[#This Row],[Category]])</f>
        <v>South-Grocery</v>
      </c>
    </row>
    <row r="62" spans="1:28">
      <c r="A62" s="4" t="s">
        <v>176</v>
      </c>
      <c r="B62" s="5">
        <v>46116</v>
      </c>
      <c r="C62" s="6" t="s">
        <v>31</v>
      </c>
      <c r="D62" s="6" t="s">
        <v>15</v>
      </c>
      <c r="E62" s="6" t="s">
        <v>177</v>
      </c>
      <c r="F62" s="6" t="s">
        <v>33</v>
      </c>
      <c r="G62" s="6" t="s">
        <v>178</v>
      </c>
      <c r="H62" s="6">
        <v>14</v>
      </c>
      <c r="I62" s="7">
        <v>390</v>
      </c>
      <c r="J62" s="8">
        <v>0.03</v>
      </c>
      <c r="K62" s="6" t="s">
        <v>28</v>
      </c>
      <c r="L62" s="6" t="s">
        <v>20</v>
      </c>
      <c r="M62" s="6" t="s">
        <v>36</v>
      </c>
      <c r="N62" s="6">
        <f>Table14[[#This Row],[Quantity]]*Table14[[#This Row],[Unit_Price_INR]]</f>
        <v>5460</v>
      </c>
      <c r="O62" s="6">
        <f>Table14[[#This Row],[Gross sales]]*Table14[[#This Row],[Discount_Rate]]</f>
        <v>163.79999999999998</v>
      </c>
      <c r="P62" s="6">
        <f>Table14[[#This Row],[Gross sales]]-Table14[[#This Row],[Discount_Amount]]</f>
        <v>5296.2</v>
      </c>
      <c r="Q62" s="6" t="str">
        <f>TEXT(Table14[[#This Row],[Date]],"mmmm")</f>
        <v>April</v>
      </c>
      <c r="R62" s="9" t="str">
        <f>IF(OR(Table14[[#This Row],[Status]]="Pending",Table14[[#This Row],[Status]]="Refunded"),"Review","OK")</f>
        <v>OK</v>
      </c>
      <c r="S62" s="6" t="str">
        <f>IF(Table14[[#This Row],[Net_Sales]]&gt;25000,"High",IF(Table14[[#This Row],[Net_Sales]]&gt;10000,"Medium","Low"))</f>
        <v>Low</v>
      </c>
      <c r="T62" s="6" t="b">
        <f>AND(Table14[[#This Row],[Quantity]]&gt;=5,Table14[[#This Row],[Discount_Rate]]&gt;=10%)</f>
        <v>0</v>
      </c>
      <c r="U62" s="6" t="b">
        <f>OR(Table14[[#This Row],[Payment_Method]]="UPI",Table14[[#This Row],[Payment_Method]]="Cash")</f>
        <v>0</v>
      </c>
      <c r="V62" s="6">
        <f>IFERROR(Table14[[#This Row],[Net_Sales]]/Table14[[#This Row],[Quantity]],"ERROR")</f>
        <v>378.3</v>
      </c>
      <c r="W62" s="6" t="str">
        <f>PROPER(TRIM(Table14[[#This Row],[Customer_Name]]))</f>
        <v>Uptown Market</v>
      </c>
      <c r="X62" s="6" t="str">
        <f>PROPER(TRIM(Table14[[#This Row],[Region]]))</f>
        <v>West</v>
      </c>
      <c r="Y62" s="6">
        <f>YEAR(Table14[[#This Row],[Date]])</f>
        <v>2026</v>
      </c>
      <c r="Z62" s="6">
        <f>MONTH(Table14[[#This Row],[Date]])</f>
        <v>4</v>
      </c>
      <c r="AA62" s="6" t="str">
        <f>MID(Table14[[#This Row],[Transaction_ID]],4,7)</f>
        <v>1047</v>
      </c>
      <c r="AB62" s="6" t="str">
        <f>_xlfn.CONCAT(Table14[[#This Row],[Region]],"-",Table14[[#This Row],[Category]])</f>
        <v>West-Grocery</v>
      </c>
    </row>
    <row r="63" spans="1:28">
      <c r="A63" s="10" t="s">
        <v>249</v>
      </c>
      <c r="B63" s="11">
        <v>46162</v>
      </c>
      <c r="C63" s="12" t="s">
        <v>31</v>
      </c>
      <c r="D63" s="12" t="s">
        <v>24</v>
      </c>
      <c r="E63" s="12" t="s">
        <v>250</v>
      </c>
      <c r="F63" s="12" t="s">
        <v>47</v>
      </c>
      <c r="G63" s="12" t="s">
        <v>251</v>
      </c>
      <c r="H63" s="12">
        <v>5</v>
      </c>
      <c r="I63" s="13">
        <v>1150</v>
      </c>
      <c r="J63" s="14">
        <v>0.08</v>
      </c>
      <c r="K63" s="12" t="s">
        <v>28</v>
      </c>
      <c r="L63" s="12" t="s">
        <v>20</v>
      </c>
      <c r="M63" s="12" t="s">
        <v>36</v>
      </c>
      <c r="N63" s="6">
        <f>Table14[[#This Row],[Quantity]]*Table14[[#This Row],[Unit_Price_INR]]</f>
        <v>5750</v>
      </c>
      <c r="O63" s="6">
        <f>Table14[[#This Row],[Gross sales]]*Table14[[#This Row],[Discount_Rate]]</f>
        <v>460</v>
      </c>
      <c r="P63" s="6">
        <f>Table14[[#This Row],[Gross sales]]-Table14[[#This Row],[Discount_Amount]]</f>
        <v>5290</v>
      </c>
      <c r="Q63" s="6" t="str">
        <f>TEXT(Table14[[#This Row],[Date]],"mmmm")</f>
        <v>May</v>
      </c>
      <c r="R63" s="9" t="str">
        <f>IF(OR(Table14[[#This Row],[Status]]="Pending",Table14[[#This Row],[Status]]="Refunded"),"Review","OK")</f>
        <v>OK</v>
      </c>
      <c r="S63" s="6" t="str">
        <f>IF(Table14[[#This Row],[Net_Sales]]&gt;25000,"High",IF(Table14[[#This Row],[Net_Sales]]&gt;10000,"Medium","Low"))</f>
        <v>Low</v>
      </c>
      <c r="T63" s="6" t="b">
        <f>AND(Table14[[#This Row],[Quantity]]&gt;=5,Table14[[#This Row],[Discount_Rate]]&gt;=10%)</f>
        <v>0</v>
      </c>
      <c r="U63" s="6" t="b">
        <f>OR(Table14[[#This Row],[Payment_Method]]="UPI",Table14[[#This Row],[Payment_Method]]="Cash")</f>
        <v>0</v>
      </c>
      <c r="V63" s="6">
        <f>IFERROR(Table14[[#This Row],[Net_Sales]]/Table14[[#This Row],[Quantity]],"ERROR")</f>
        <v>1058</v>
      </c>
      <c r="W63" s="6" t="str">
        <f>PROPER(TRIM(Table14[[#This Row],[Customer_Name]]))</f>
        <v>Stonebridge Shop</v>
      </c>
      <c r="X63" s="6" t="str">
        <f>PROPER(TRIM(Table14[[#This Row],[Region]]))</f>
        <v>West</v>
      </c>
      <c r="Y63" s="6">
        <f>YEAR(Table14[[#This Row],[Date]])</f>
        <v>2026</v>
      </c>
      <c r="Z63" s="6">
        <f>MONTH(Table14[[#This Row],[Date]])</f>
        <v>5</v>
      </c>
      <c r="AA63" s="6" t="str">
        <f>MID(Table14[[#This Row],[Transaction_ID]],4,7)</f>
        <v>1072</v>
      </c>
      <c r="AB63" s="6" t="str">
        <f>_xlfn.CONCAT(Table14[[#This Row],[Region]],"-",Table14[[#This Row],[Category]])</f>
        <v>West-Fashion</v>
      </c>
    </row>
    <row r="64" spans="1:28">
      <c r="A64" s="4" t="s">
        <v>252</v>
      </c>
      <c r="B64" s="5">
        <v>46164</v>
      </c>
      <c r="C64" s="6" t="s">
        <v>38</v>
      </c>
      <c r="D64" s="6" t="s">
        <v>15</v>
      </c>
      <c r="E64" s="6" t="s">
        <v>253</v>
      </c>
      <c r="F64" s="6" t="s">
        <v>26</v>
      </c>
      <c r="G64" s="6" t="s">
        <v>254</v>
      </c>
      <c r="H64" s="6">
        <v>6</v>
      </c>
      <c r="I64" s="7">
        <v>890</v>
      </c>
      <c r="J64" s="8">
        <v>0.05</v>
      </c>
      <c r="K64" s="6" t="s">
        <v>19</v>
      </c>
      <c r="L64" s="6" t="s">
        <v>20</v>
      </c>
      <c r="M64" s="6" t="s">
        <v>44</v>
      </c>
      <c r="N64" s="6">
        <f>Table14[[#This Row],[Quantity]]*Table14[[#This Row],[Unit_Price_INR]]</f>
        <v>5340</v>
      </c>
      <c r="O64" s="6">
        <f>Table14[[#This Row],[Gross sales]]*Table14[[#This Row],[Discount_Rate]]</f>
        <v>267</v>
      </c>
      <c r="P64" s="6">
        <f>Table14[[#This Row],[Gross sales]]-Table14[[#This Row],[Discount_Amount]]</f>
        <v>5073</v>
      </c>
      <c r="Q64" s="6" t="str">
        <f>TEXT(Table14[[#This Row],[Date]],"mmmm")</f>
        <v>May</v>
      </c>
      <c r="R64" s="9" t="str">
        <f>IF(OR(Table14[[#This Row],[Status]]="Pending",Table14[[#This Row],[Status]]="Refunded"),"Review","OK")</f>
        <v>OK</v>
      </c>
      <c r="S64" s="6" t="str">
        <f>IF(Table14[[#This Row],[Net_Sales]]&gt;25000,"High",IF(Table14[[#This Row],[Net_Sales]]&gt;10000,"Medium","Low"))</f>
        <v>Low</v>
      </c>
      <c r="T64" s="6" t="b">
        <f>AND(Table14[[#This Row],[Quantity]]&gt;=5,Table14[[#This Row],[Discount_Rate]]&gt;=10%)</f>
        <v>0</v>
      </c>
      <c r="U64" s="6" t="b">
        <f>OR(Table14[[#This Row],[Payment_Method]]="UPI",Table14[[#This Row],[Payment_Method]]="Cash")</f>
        <v>1</v>
      </c>
      <c r="V64" s="6">
        <f>IFERROR(Table14[[#This Row],[Net_Sales]]/Table14[[#This Row],[Quantity]],"ERROR")</f>
        <v>845.5</v>
      </c>
      <c r="W64" s="6" t="str">
        <f>PROPER(TRIM(Table14[[#This Row],[Customer_Name]]))</f>
        <v>Timber Store</v>
      </c>
      <c r="X64" s="6" t="str">
        <f>PROPER(TRIM(Table14[[#This Row],[Region]]))</f>
        <v>East</v>
      </c>
      <c r="Y64" s="6">
        <f>YEAR(Table14[[#This Row],[Date]])</f>
        <v>2026</v>
      </c>
      <c r="Z64" s="6">
        <f>MONTH(Table14[[#This Row],[Date]])</f>
        <v>5</v>
      </c>
      <c r="AA64" s="6" t="str">
        <f>MID(Table14[[#This Row],[Transaction_ID]],4,7)</f>
        <v>1073</v>
      </c>
      <c r="AB64" s="6" t="str">
        <f>_xlfn.CONCAT(Table14[[#This Row],[Region]],"-",Table14[[#This Row],[Category]])</f>
        <v>East-Home</v>
      </c>
    </row>
    <row r="65" spans="1:28">
      <c r="A65" s="10" t="s">
        <v>191</v>
      </c>
      <c r="B65" s="11">
        <v>46126</v>
      </c>
      <c r="C65" s="12" t="s">
        <v>38</v>
      </c>
      <c r="D65" s="12" t="s">
        <v>24</v>
      </c>
      <c r="E65" s="12" t="s">
        <v>192</v>
      </c>
      <c r="F65" s="12" t="s">
        <v>33</v>
      </c>
      <c r="G65" s="12" t="s">
        <v>193</v>
      </c>
      <c r="H65" s="12">
        <v>12</v>
      </c>
      <c r="I65" s="13">
        <v>440</v>
      </c>
      <c r="J65" s="14">
        <v>0.04</v>
      </c>
      <c r="K65" s="12" t="s">
        <v>19</v>
      </c>
      <c r="L65" s="12" t="s">
        <v>20</v>
      </c>
      <c r="M65" s="12" t="s">
        <v>44</v>
      </c>
      <c r="N65" s="6">
        <f>Table14[[#This Row],[Quantity]]*Table14[[#This Row],[Unit_Price_INR]]</f>
        <v>5280</v>
      </c>
      <c r="O65" s="6">
        <f>Table14[[#This Row],[Gross sales]]*Table14[[#This Row],[Discount_Rate]]</f>
        <v>211.20000000000002</v>
      </c>
      <c r="P65" s="6">
        <f>Table14[[#This Row],[Gross sales]]-Table14[[#This Row],[Discount_Amount]]</f>
        <v>5068.8</v>
      </c>
      <c r="Q65" s="6" t="str">
        <f>TEXT(Table14[[#This Row],[Date]],"mmmm")</f>
        <v>April</v>
      </c>
      <c r="R65" s="9" t="str">
        <f>IF(OR(Table14[[#This Row],[Status]]="Pending",Table14[[#This Row],[Status]]="Refunded"),"Review","OK")</f>
        <v>OK</v>
      </c>
      <c r="S65" s="6" t="str">
        <f>IF(Table14[[#This Row],[Net_Sales]]&gt;25000,"High",IF(Table14[[#This Row],[Net_Sales]]&gt;10000,"Medium","Low"))</f>
        <v>Low</v>
      </c>
      <c r="T65" s="6" t="b">
        <f>AND(Table14[[#This Row],[Quantity]]&gt;=5,Table14[[#This Row],[Discount_Rate]]&gt;=10%)</f>
        <v>0</v>
      </c>
      <c r="U65" s="6" t="b">
        <f>OR(Table14[[#This Row],[Payment_Method]]="UPI",Table14[[#This Row],[Payment_Method]]="Cash")</f>
        <v>1</v>
      </c>
      <c r="V65" s="6">
        <f>IFERROR(Table14[[#This Row],[Net_Sales]]/Table14[[#This Row],[Quantity]],"ERROR")</f>
        <v>422.40000000000003</v>
      </c>
      <c r="W65" s="6" t="str">
        <f>PROPER(TRIM(Table14[[#This Row],[Customer_Name]]))</f>
        <v>Zest Shop</v>
      </c>
      <c r="X65" s="6" t="str">
        <f>PROPER(TRIM(Table14[[#This Row],[Region]]))</f>
        <v>East</v>
      </c>
      <c r="Y65" s="6">
        <f>YEAR(Table14[[#This Row],[Date]])</f>
        <v>2026</v>
      </c>
      <c r="Z65" s="6">
        <f>MONTH(Table14[[#This Row],[Date]])</f>
        <v>4</v>
      </c>
      <c r="AA65" s="6" t="str">
        <f>MID(Table14[[#This Row],[Transaction_ID]],4,7)</f>
        <v>1052</v>
      </c>
      <c r="AB65" s="6" t="str">
        <f>_xlfn.CONCAT(Table14[[#This Row],[Region]],"-",Table14[[#This Row],[Category]])</f>
        <v>East-Grocery</v>
      </c>
    </row>
    <row r="66" spans="1:28">
      <c r="A66" s="4" t="s">
        <v>218</v>
      </c>
      <c r="B66" s="5">
        <v>46144</v>
      </c>
      <c r="C66" s="6" t="s">
        <v>219</v>
      </c>
      <c r="D66" s="6" t="s">
        <v>24</v>
      </c>
      <c r="E66" s="6" t="s">
        <v>220</v>
      </c>
      <c r="F66" s="6" t="s">
        <v>17</v>
      </c>
      <c r="G66" s="6" t="s">
        <v>221</v>
      </c>
      <c r="H66" s="6">
        <v>6</v>
      </c>
      <c r="I66" s="7">
        <v>850</v>
      </c>
      <c r="J66" s="8">
        <v>0.05</v>
      </c>
      <c r="K66" s="6" t="s">
        <v>19</v>
      </c>
      <c r="L66" s="6" t="s">
        <v>20</v>
      </c>
      <c r="M66" s="6" t="s">
        <v>21</v>
      </c>
      <c r="N66" s="6">
        <f>Table14[[#This Row],[Quantity]]*Table14[[#This Row],[Unit_Price_INR]]</f>
        <v>5100</v>
      </c>
      <c r="O66" s="6">
        <f>Table14[[#This Row],[Gross sales]]*Table14[[#This Row],[Discount_Rate]]</f>
        <v>255</v>
      </c>
      <c r="P66" s="6">
        <f>Table14[[#This Row],[Gross sales]]-Table14[[#This Row],[Discount_Amount]]</f>
        <v>4845</v>
      </c>
      <c r="Q66" s="6" t="str">
        <f>TEXT(Table14[[#This Row],[Date]],"mmmm")</f>
        <v>May</v>
      </c>
      <c r="R66" s="9" t="str">
        <f>IF(OR(Table14[[#This Row],[Status]]="Pending",Table14[[#This Row],[Status]]="Refunded"),"Review","OK")</f>
        <v>OK</v>
      </c>
      <c r="S66" s="6" t="str">
        <f>IF(Table14[[#This Row],[Net_Sales]]&gt;25000,"High",IF(Table14[[#This Row],[Net_Sales]]&gt;10000,"Medium","Low"))</f>
        <v>Low</v>
      </c>
      <c r="T66" s="6" t="b">
        <f>AND(Table14[[#This Row],[Quantity]]&gt;=5,Table14[[#This Row],[Discount_Rate]]&gt;=10%)</f>
        <v>0</v>
      </c>
      <c r="U66" s="6" t="b">
        <f>OR(Table14[[#This Row],[Payment_Method]]="UPI",Table14[[#This Row],[Payment_Method]]="Cash")</f>
        <v>1</v>
      </c>
      <c r="V66" s="6">
        <f>IFERROR(Table14[[#This Row],[Net_Sales]]/Table14[[#This Row],[Quantity]],"ERROR")</f>
        <v>807.5</v>
      </c>
      <c r="W66" s="6" t="str">
        <f>PROPER(TRIM(Table14[[#This Row],[Customer_Name]]))</f>
        <v>Ivy Retail</v>
      </c>
      <c r="X66" s="6" t="str">
        <f>PROPER(TRIM(Table14[[#This Row],[Region]]))</f>
        <v>North</v>
      </c>
      <c r="Y66" s="6">
        <f>YEAR(Table14[[#This Row],[Date]])</f>
        <v>2026</v>
      </c>
      <c r="Z66" s="6">
        <f>MONTH(Table14[[#This Row],[Date]])</f>
        <v>5</v>
      </c>
      <c r="AA66" s="6" t="str">
        <f>MID(Table14[[#This Row],[Transaction_ID]],4,7)</f>
        <v>1061</v>
      </c>
      <c r="AB66" s="6" t="str">
        <f>_xlfn.CONCAT(Table14[[#This Row],[Region]],"-",Table14[[#This Row],[Category]])</f>
        <v xml:space="preserve"> north -Electronics</v>
      </c>
    </row>
    <row r="67" spans="1:28">
      <c r="A67" s="10" t="s">
        <v>100</v>
      </c>
      <c r="B67" s="11">
        <v>46060</v>
      </c>
      <c r="C67" s="12" t="s">
        <v>23</v>
      </c>
      <c r="D67" s="12" t="s">
        <v>24</v>
      </c>
      <c r="E67" s="12" t="s">
        <v>101</v>
      </c>
      <c r="F67" s="12" t="s">
        <v>33</v>
      </c>
      <c r="G67" s="12" t="s">
        <v>102</v>
      </c>
      <c r="H67" s="12">
        <v>10</v>
      </c>
      <c r="I67" s="13">
        <v>480</v>
      </c>
      <c r="J67" s="14">
        <v>0</v>
      </c>
      <c r="K67" s="12" t="s">
        <v>28</v>
      </c>
      <c r="L67" s="12" t="s">
        <v>20</v>
      </c>
      <c r="M67" s="12" t="s">
        <v>52</v>
      </c>
      <c r="N67" s="6">
        <f>Table14[[#This Row],[Quantity]]*Table14[[#This Row],[Unit_Price_INR]]</f>
        <v>4800</v>
      </c>
      <c r="O67" s="6">
        <f>Table14[[#This Row],[Gross sales]]*Table14[[#This Row],[Discount_Rate]]</f>
        <v>0</v>
      </c>
      <c r="P67" s="6">
        <f>Table14[[#This Row],[Gross sales]]-Table14[[#This Row],[Discount_Amount]]</f>
        <v>4800</v>
      </c>
      <c r="Q67" s="6" t="str">
        <f>TEXT(Table14[[#This Row],[Date]],"mmmm")</f>
        <v>February</v>
      </c>
      <c r="R67" s="9" t="str">
        <f>IF(OR(Table14[[#This Row],[Status]]="Pending",Table14[[#This Row],[Status]]="Refunded"),"Review","OK")</f>
        <v>OK</v>
      </c>
      <c r="S67" s="6" t="str">
        <f>IF(Table14[[#This Row],[Net_Sales]]&gt;25000,"High",IF(Table14[[#This Row],[Net_Sales]]&gt;10000,"Medium","Low"))</f>
        <v>Low</v>
      </c>
      <c r="T67" s="6" t="b">
        <f>AND(Table14[[#This Row],[Quantity]]&gt;=5,Table14[[#This Row],[Discount_Rate]]&gt;=10%)</f>
        <v>0</v>
      </c>
      <c r="U67" s="6" t="b">
        <f>OR(Table14[[#This Row],[Payment_Method]]="UPI",Table14[[#This Row],[Payment_Method]]="Cash")</f>
        <v>0</v>
      </c>
      <c r="V67" s="6">
        <f>IFERROR(Table14[[#This Row],[Net_Sales]]/Table14[[#This Row],[Quantity]],"ERROR")</f>
        <v>480</v>
      </c>
      <c r="W67" s="6" t="str">
        <f>PROPER(TRIM(Table14[[#This Row],[Customer_Name]]))</f>
        <v>Value Hub</v>
      </c>
      <c r="X67" s="6" t="str">
        <f>PROPER(TRIM(Table14[[#This Row],[Region]]))</f>
        <v>South</v>
      </c>
      <c r="Y67" s="6">
        <f>YEAR(Table14[[#This Row],[Date]])</f>
        <v>2026</v>
      </c>
      <c r="Z67" s="6">
        <f>MONTH(Table14[[#This Row],[Date]])</f>
        <v>2</v>
      </c>
      <c r="AA67" s="6" t="str">
        <f>MID(Table14[[#This Row],[Transaction_ID]],4,7)</f>
        <v>1022</v>
      </c>
      <c r="AB67" s="6" t="str">
        <f>_xlfn.CONCAT(Table14[[#This Row],[Region]],"-",Table14[[#This Row],[Category]])</f>
        <v>South-Grocery</v>
      </c>
    </row>
    <row r="68" spans="1:28">
      <c r="A68" s="10" t="s">
        <v>231</v>
      </c>
      <c r="B68" s="11">
        <v>46151</v>
      </c>
      <c r="C68" s="12" t="s">
        <v>14</v>
      </c>
      <c r="D68" s="12" t="s">
        <v>15</v>
      </c>
      <c r="E68" s="12" t="s">
        <v>232</v>
      </c>
      <c r="F68" s="12" t="s">
        <v>33</v>
      </c>
      <c r="G68" s="12" t="s">
        <v>233</v>
      </c>
      <c r="H68" s="12">
        <v>5</v>
      </c>
      <c r="I68" s="13">
        <v>980</v>
      </c>
      <c r="J68" s="14">
        <v>0.05</v>
      </c>
      <c r="K68" s="12" t="s">
        <v>19</v>
      </c>
      <c r="L68" s="12" t="s">
        <v>20</v>
      </c>
      <c r="M68" s="12" t="s">
        <v>21</v>
      </c>
      <c r="N68" s="6">
        <f>Table14[[#This Row],[Quantity]]*Table14[[#This Row],[Unit_Price_INR]]</f>
        <v>4900</v>
      </c>
      <c r="O68" s="6">
        <f>Table14[[#This Row],[Gross sales]]*Table14[[#This Row],[Discount_Rate]]</f>
        <v>245</v>
      </c>
      <c r="P68" s="6">
        <f>Table14[[#This Row],[Gross sales]]-Table14[[#This Row],[Discount_Amount]]</f>
        <v>4655</v>
      </c>
      <c r="Q68" s="6" t="str">
        <f>TEXT(Table14[[#This Row],[Date]],"mmmm")</f>
        <v>May</v>
      </c>
      <c r="R68" s="9" t="str">
        <f>IF(OR(Table14[[#This Row],[Status]]="Pending",Table14[[#This Row],[Status]]="Refunded"),"Review","OK")</f>
        <v>OK</v>
      </c>
      <c r="S68" s="6" t="str">
        <f>IF(Table14[[#This Row],[Net_Sales]]&gt;25000,"High",IF(Table14[[#This Row],[Net_Sales]]&gt;10000,"Medium","Low"))</f>
        <v>Low</v>
      </c>
      <c r="T68" s="6" t="b">
        <f>AND(Table14[[#This Row],[Quantity]]&gt;=5,Table14[[#This Row],[Discount_Rate]]&gt;=10%)</f>
        <v>0</v>
      </c>
      <c r="U68" s="6" t="b">
        <f>OR(Table14[[#This Row],[Payment_Method]]="UPI",Table14[[#This Row],[Payment_Method]]="Cash")</f>
        <v>1</v>
      </c>
      <c r="V68" s="6">
        <f>IFERROR(Table14[[#This Row],[Net_Sales]]/Table14[[#This Row],[Quantity]],"ERROR")</f>
        <v>931</v>
      </c>
      <c r="W68" s="6" t="str">
        <f>PROPER(TRIM(Table14[[#This Row],[Customer_Name]]))</f>
        <v>Mango Market</v>
      </c>
      <c r="X68" s="6" t="str">
        <f>PROPER(TRIM(Table14[[#This Row],[Region]]))</f>
        <v>North</v>
      </c>
      <c r="Y68" s="6">
        <f>YEAR(Table14[[#This Row],[Date]])</f>
        <v>2026</v>
      </c>
      <c r="Z68" s="6">
        <f>MONTH(Table14[[#This Row],[Date]])</f>
        <v>5</v>
      </c>
      <c r="AA68" s="6" t="str">
        <f>MID(Table14[[#This Row],[Transaction_ID]],4,7)</f>
        <v>1066</v>
      </c>
      <c r="AB68" s="6" t="str">
        <f>_xlfn.CONCAT(Table14[[#This Row],[Region]],"-",Table14[[#This Row],[Category]])</f>
        <v>North-Grocery</v>
      </c>
    </row>
    <row r="69" spans="1:28">
      <c r="A69" s="4" t="s">
        <v>85</v>
      </c>
      <c r="B69" s="5">
        <v>46049</v>
      </c>
      <c r="C69" s="6" t="s">
        <v>14</v>
      </c>
      <c r="D69" s="6" t="s">
        <v>15</v>
      </c>
      <c r="E69" s="6" t="s">
        <v>86</v>
      </c>
      <c r="F69" s="6" t="s">
        <v>33</v>
      </c>
      <c r="G69" s="6" t="s">
        <v>87</v>
      </c>
      <c r="H69" s="6">
        <v>15</v>
      </c>
      <c r="I69" s="7">
        <v>320</v>
      </c>
      <c r="J69" s="8">
        <v>0.05</v>
      </c>
      <c r="K69" s="6" t="s">
        <v>35</v>
      </c>
      <c r="L69" s="6" t="s">
        <v>20</v>
      </c>
      <c r="M69" s="6" t="s">
        <v>21</v>
      </c>
      <c r="N69" s="6">
        <f>Table14[[#This Row],[Quantity]]*Table14[[#This Row],[Unit_Price_INR]]</f>
        <v>4800</v>
      </c>
      <c r="O69" s="6">
        <f>Table14[[#This Row],[Gross sales]]*Table14[[#This Row],[Discount_Rate]]</f>
        <v>240</v>
      </c>
      <c r="P69" s="6">
        <f>Table14[[#This Row],[Gross sales]]-Table14[[#This Row],[Discount_Amount]]</f>
        <v>4560</v>
      </c>
      <c r="Q69" s="6" t="str">
        <f>TEXT(Table14[[#This Row],[Date]],"mmmm")</f>
        <v>January</v>
      </c>
      <c r="R69" s="9" t="str">
        <f>IF(OR(Table14[[#This Row],[Status]]="Pending",Table14[[#This Row],[Status]]="Refunded"),"Review","OK")</f>
        <v>OK</v>
      </c>
      <c r="S69" s="6" t="str">
        <f>IF(Table14[[#This Row],[Net_Sales]]&gt;25000,"High",IF(Table14[[#This Row],[Net_Sales]]&gt;10000,"Medium","Low"))</f>
        <v>Low</v>
      </c>
      <c r="T69" s="6" t="b">
        <f>AND(Table14[[#This Row],[Quantity]]&gt;=5,Table14[[#This Row],[Discount_Rate]]&gt;=10%)</f>
        <v>0</v>
      </c>
      <c r="U69" s="6" t="b">
        <f>OR(Table14[[#This Row],[Payment_Method]]="UPI",Table14[[#This Row],[Payment_Method]]="Cash")</f>
        <v>1</v>
      </c>
      <c r="V69" s="6">
        <f>IFERROR(Table14[[#This Row],[Net_Sales]]/Table14[[#This Row],[Quantity]],"ERROR")</f>
        <v>304</v>
      </c>
      <c r="W69" s="6" t="str">
        <f>PROPER(TRIM(Table14[[#This Row],[Customer_Name]]))</f>
        <v>Quick Buy</v>
      </c>
      <c r="X69" s="6" t="str">
        <f>PROPER(TRIM(Table14[[#This Row],[Region]]))</f>
        <v>North</v>
      </c>
      <c r="Y69" s="6">
        <f>YEAR(Table14[[#This Row],[Date]])</f>
        <v>2026</v>
      </c>
      <c r="Z69" s="6">
        <f>MONTH(Table14[[#This Row],[Date]])</f>
        <v>1</v>
      </c>
      <c r="AA69" s="6" t="str">
        <f>MID(Table14[[#This Row],[Transaction_ID]],4,7)</f>
        <v>1017</v>
      </c>
      <c r="AB69" s="6" t="str">
        <f>_xlfn.CONCAT(Table14[[#This Row],[Region]],"-",Table14[[#This Row],[Category]])</f>
        <v>North-Grocery</v>
      </c>
    </row>
    <row r="70" spans="1:28">
      <c r="A70" s="10" t="s">
        <v>76</v>
      </c>
      <c r="B70" s="11">
        <v>46043</v>
      </c>
      <c r="C70" s="12" t="s">
        <v>23</v>
      </c>
      <c r="D70" s="12" t="s">
        <v>15</v>
      </c>
      <c r="E70" s="12" t="s">
        <v>77</v>
      </c>
      <c r="F70" s="12" t="s">
        <v>41</v>
      </c>
      <c r="G70" s="12" t="s">
        <v>78</v>
      </c>
      <c r="H70" s="12">
        <v>25</v>
      </c>
      <c r="I70" s="13">
        <v>180</v>
      </c>
      <c r="J70" s="14">
        <v>0</v>
      </c>
      <c r="K70" s="12" t="s">
        <v>35</v>
      </c>
      <c r="L70" s="12" t="s">
        <v>20</v>
      </c>
      <c r="M70" s="12" t="s">
        <v>52</v>
      </c>
      <c r="N70" s="6">
        <f>Table14[[#This Row],[Quantity]]*Table14[[#This Row],[Unit_Price_INR]]</f>
        <v>4500</v>
      </c>
      <c r="O70" s="6">
        <f>Table14[[#This Row],[Gross sales]]*Table14[[#This Row],[Discount_Rate]]</f>
        <v>0</v>
      </c>
      <c r="P70" s="6">
        <f>Table14[[#This Row],[Gross sales]]-Table14[[#This Row],[Discount_Amount]]</f>
        <v>4500</v>
      </c>
      <c r="Q70" s="6" t="str">
        <f>TEXT(Table14[[#This Row],[Date]],"mmmm")</f>
        <v>January</v>
      </c>
      <c r="R70" s="9" t="str">
        <f>IF(OR(Table14[[#This Row],[Status]]="Pending",Table14[[#This Row],[Status]]="Refunded"),"Review","OK")</f>
        <v>OK</v>
      </c>
      <c r="S70" s="6" t="str">
        <f>IF(Table14[[#This Row],[Net_Sales]]&gt;25000,"High",IF(Table14[[#This Row],[Net_Sales]]&gt;10000,"Medium","Low"))</f>
        <v>Low</v>
      </c>
      <c r="T70" s="6" t="b">
        <f>AND(Table14[[#This Row],[Quantity]]&gt;=5,Table14[[#This Row],[Discount_Rate]]&gt;=10%)</f>
        <v>0</v>
      </c>
      <c r="U70" s="6" t="b">
        <f>OR(Table14[[#This Row],[Payment_Method]]="UPI",Table14[[#This Row],[Payment_Method]]="Cash")</f>
        <v>1</v>
      </c>
      <c r="V70" s="6">
        <f>IFERROR(Table14[[#This Row],[Net_Sales]]/Table14[[#This Row],[Quantity]],"ERROR")</f>
        <v>180</v>
      </c>
      <c r="W70" s="6" t="str">
        <f>PROPER(TRIM(Table14[[#This Row],[Customer_Name]]))</f>
        <v>Nova Stores</v>
      </c>
      <c r="X70" s="6" t="str">
        <f>PROPER(TRIM(Table14[[#This Row],[Region]]))</f>
        <v>South</v>
      </c>
      <c r="Y70" s="6">
        <f>YEAR(Table14[[#This Row],[Date]])</f>
        <v>2026</v>
      </c>
      <c r="Z70" s="6">
        <f>MONTH(Table14[[#This Row],[Date]])</f>
        <v>1</v>
      </c>
      <c r="AA70" s="6" t="str">
        <f>MID(Table14[[#This Row],[Transaction_ID]],4,7)</f>
        <v>1014</v>
      </c>
      <c r="AB70" s="6" t="str">
        <f>_xlfn.CONCAT(Table14[[#This Row],[Region]],"-",Table14[[#This Row],[Category]])</f>
        <v>South-Office</v>
      </c>
    </row>
    <row r="71" spans="1:28">
      <c r="A71" s="10" t="s">
        <v>237</v>
      </c>
      <c r="B71" s="11">
        <v>46154</v>
      </c>
      <c r="C71" s="12" t="s">
        <v>31</v>
      </c>
      <c r="D71" s="12" t="s">
        <v>15</v>
      </c>
      <c r="E71" s="12" t="s">
        <v>238</v>
      </c>
      <c r="F71" s="12" t="s">
        <v>26</v>
      </c>
      <c r="G71" s="12" t="s">
        <v>239</v>
      </c>
      <c r="H71" s="12">
        <v>2</v>
      </c>
      <c r="I71" s="13">
        <v>2300</v>
      </c>
      <c r="J71" s="14">
        <v>0.05</v>
      </c>
      <c r="K71" s="12" t="s">
        <v>19</v>
      </c>
      <c r="L71" s="12" t="s">
        <v>20</v>
      </c>
      <c r="M71" s="12" t="s">
        <v>36</v>
      </c>
      <c r="N71" s="6">
        <f>Table14[[#This Row],[Quantity]]*Table14[[#This Row],[Unit_Price_INR]]</f>
        <v>4600</v>
      </c>
      <c r="O71" s="6">
        <f>Table14[[#This Row],[Gross sales]]*Table14[[#This Row],[Discount_Rate]]</f>
        <v>230</v>
      </c>
      <c r="P71" s="6">
        <f>Table14[[#This Row],[Gross sales]]-Table14[[#This Row],[Discount_Amount]]</f>
        <v>4370</v>
      </c>
      <c r="Q71" s="6" t="str">
        <f>TEXT(Table14[[#This Row],[Date]],"mmmm")</f>
        <v>May</v>
      </c>
      <c r="R71" s="9" t="str">
        <f>IF(OR(Table14[[#This Row],[Status]]="Pending",Table14[[#This Row],[Status]]="Refunded"),"Review","OK")</f>
        <v>OK</v>
      </c>
      <c r="S71" s="6" t="str">
        <f>IF(Table14[[#This Row],[Net_Sales]]&gt;25000,"High",IF(Table14[[#This Row],[Net_Sales]]&gt;10000,"Medium","Low"))</f>
        <v>Low</v>
      </c>
      <c r="T71" s="6" t="b">
        <f>AND(Table14[[#This Row],[Quantity]]&gt;=5,Table14[[#This Row],[Discount_Rate]]&gt;=10%)</f>
        <v>0</v>
      </c>
      <c r="U71" s="6" t="b">
        <f>OR(Table14[[#This Row],[Payment_Method]]="UPI",Table14[[#This Row],[Payment_Method]]="Cash")</f>
        <v>1</v>
      </c>
      <c r="V71" s="6">
        <f>IFERROR(Table14[[#This Row],[Net_Sales]]/Table14[[#This Row],[Quantity]],"ERROR")</f>
        <v>2185</v>
      </c>
      <c r="W71" s="6" t="str">
        <f>PROPER(TRIM(Table14[[#This Row],[Customer_Name]]))</f>
        <v>Orchid Shop</v>
      </c>
      <c r="X71" s="6" t="str">
        <f>PROPER(TRIM(Table14[[#This Row],[Region]]))</f>
        <v>West</v>
      </c>
      <c r="Y71" s="6">
        <f>YEAR(Table14[[#This Row],[Date]])</f>
        <v>2026</v>
      </c>
      <c r="Z71" s="6">
        <f>MONTH(Table14[[#This Row],[Date]])</f>
        <v>5</v>
      </c>
      <c r="AA71" s="6" t="str">
        <f>MID(Table14[[#This Row],[Transaction_ID]],4,7)</f>
        <v>1068</v>
      </c>
      <c r="AB71" s="6" t="str">
        <f>_xlfn.CONCAT(Table14[[#This Row],[Region]],"-",Table14[[#This Row],[Category]])</f>
        <v>West-Home</v>
      </c>
    </row>
    <row r="72" spans="1:28">
      <c r="A72" s="10" t="s">
        <v>261</v>
      </c>
      <c r="B72" s="11">
        <v>46170</v>
      </c>
      <c r="C72" s="12" t="s">
        <v>31</v>
      </c>
      <c r="D72" s="12" t="s">
        <v>15</v>
      </c>
      <c r="E72" s="12" t="s">
        <v>262</v>
      </c>
      <c r="F72" s="12" t="s">
        <v>33</v>
      </c>
      <c r="G72" s="12" t="s">
        <v>263</v>
      </c>
      <c r="H72" s="12">
        <v>11</v>
      </c>
      <c r="I72" s="13">
        <v>310</v>
      </c>
      <c r="J72" s="14">
        <v>0.02</v>
      </c>
      <c r="K72" s="12" t="s">
        <v>19</v>
      </c>
      <c r="L72" s="12" t="s">
        <v>20</v>
      </c>
      <c r="M72" s="12" t="s">
        <v>36</v>
      </c>
      <c r="N72" s="6">
        <f>Table14[[#This Row],[Quantity]]*Table14[[#This Row],[Unit_Price_INR]]</f>
        <v>3410</v>
      </c>
      <c r="O72" s="6">
        <f>Table14[[#This Row],[Gross sales]]*Table14[[#This Row],[Discount_Rate]]</f>
        <v>68.2</v>
      </c>
      <c r="P72" s="6">
        <f>Table14[[#This Row],[Gross sales]]-Table14[[#This Row],[Discount_Amount]]</f>
        <v>3341.8</v>
      </c>
      <c r="Q72" s="6" t="str">
        <f>TEXT(Table14[[#This Row],[Date]],"mmmm")</f>
        <v>May</v>
      </c>
      <c r="R72" s="9" t="str">
        <f>IF(OR(Table14[[#This Row],[Status]]="Pending",Table14[[#This Row],[Status]]="Refunded"),"Review","OK")</f>
        <v>OK</v>
      </c>
      <c r="S72" s="6" t="str">
        <f>IF(Table14[[#This Row],[Net_Sales]]&gt;25000,"High",IF(Table14[[#This Row],[Net_Sales]]&gt;10000,"Medium","Low"))</f>
        <v>Low</v>
      </c>
      <c r="T72" s="6" t="b">
        <f>AND(Table14[[#This Row],[Quantity]]&gt;=5,Table14[[#This Row],[Discount_Rate]]&gt;=10%)</f>
        <v>0</v>
      </c>
      <c r="U72" s="6" t="b">
        <f>OR(Table14[[#This Row],[Payment_Method]]="UPI",Table14[[#This Row],[Payment_Method]]="Cash")</f>
        <v>1</v>
      </c>
      <c r="V72" s="6">
        <f>IFERROR(Table14[[#This Row],[Net_Sales]]/Table14[[#This Row],[Quantity]],"ERROR")</f>
        <v>303.8</v>
      </c>
      <c r="W72" s="6" t="str">
        <f>PROPER(TRIM(Table14[[#This Row],[Customer_Name]]))</f>
        <v>Willow Retail</v>
      </c>
      <c r="X72" s="6" t="str">
        <f>PROPER(TRIM(Table14[[#This Row],[Region]]))</f>
        <v>West</v>
      </c>
      <c r="Y72" s="6">
        <f>YEAR(Table14[[#This Row],[Date]])</f>
        <v>2026</v>
      </c>
      <c r="Z72" s="6">
        <f>MONTH(Table14[[#This Row],[Date]])</f>
        <v>5</v>
      </c>
      <c r="AA72" s="6" t="str">
        <f>MID(Table14[[#This Row],[Transaction_ID]],4,7)</f>
        <v>1076</v>
      </c>
      <c r="AB72" s="6" t="str">
        <f>_xlfn.CONCAT(Table14[[#This Row],[Region]],"-",Table14[[#This Row],[Category]])</f>
        <v>West-Grocery</v>
      </c>
    </row>
    <row r="73" spans="1:28">
      <c r="A73" s="10" t="s">
        <v>167</v>
      </c>
      <c r="B73" s="11">
        <v>46108</v>
      </c>
      <c r="C73" s="12" t="s">
        <v>38</v>
      </c>
      <c r="D73" s="12" t="s">
        <v>15</v>
      </c>
      <c r="E73" s="12" t="s">
        <v>168</v>
      </c>
      <c r="F73" s="12" t="s">
        <v>41</v>
      </c>
      <c r="G73" s="12" t="s">
        <v>169</v>
      </c>
      <c r="H73" s="12">
        <v>20</v>
      </c>
      <c r="I73" s="13">
        <v>125</v>
      </c>
      <c r="J73" s="14">
        <v>0</v>
      </c>
      <c r="K73" s="12" t="s">
        <v>35</v>
      </c>
      <c r="L73" s="12" t="s">
        <v>20</v>
      </c>
      <c r="M73" s="12" t="s">
        <v>44</v>
      </c>
      <c r="N73" s="6">
        <f>Table14[[#This Row],[Quantity]]*Table14[[#This Row],[Unit_Price_INR]]</f>
        <v>2500</v>
      </c>
      <c r="O73" s="6">
        <f>Table14[[#This Row],[Gross sales]]*Table14[[#This Row],[Discount_Rate]]</f>
        <v>0</v>
      </c>
      <c r="P73" s="6">
        <f>Table14[[#This Row],[Gross sales]]-Table14[[#This Row],[Discount_Amount]]</f>
        <v>2500</v>
      </c>
      <c r="Q73" s="6" t="str">
        <f>TEXT(Table14[[#This Row],[Date]],"mmmm")</f>
        <v>March</v>
      </c>
      <c r="R73" s="9" t="str">
        <f>IF(OR(Table14[[#This Row],[Status]]="Pending",Table14[[#This Row],[Status]]="Refunded"),"Review","OK")</f>
        <v>OK</v>
      </c>
      <c r="S73" s="6" t="str">
        <f>IF(Table14[[#This Row],[Net_Sales]]&gt;25000,"High",IF(Table14[[#This Row],[Net_Sales]]&gt;10000,"Medium","Low"))</f>
        <v>Low</v>
      </c>
      <c r="T73" s="6" t="b">
        <f>AND(Table14[[#This Row],[Quantity]]&gt;=5,Table14[[#This Row],[Discount_Rate]]&gt;=10%)</f>
        <v>0</v>
      </c>
      <c r="U73" s="6" t="b">
        <f>OR(Table14[[#This Row],[Payment_Method]]="UPI",Table14[[#This Row],[Payment_Method]]="Cash")</f>
        <v>1</v>
      </c>
      <c r="V73" s="6">
        <f>IFERROR(Table14[[#This Row],[Net_Sales]]/Table14[[#This Row],[Quantity]],"ERROR")</f>
        <v>125</v>
      </c>
      <c r="W73" s="6" t="str">
        <f>PROPER(TRIM(Table14[[#This Row],[Customer_Name]]))</f>
        <v>River Store</v>
      </c>
      <c r="X73" s="6" t="str">
        <f>PROPER(TRIM(Table14[[#This Row],[Region]]))</f>
        <v>East</v>
      </c>
      <c r="Y73" s="6">
        <f>YEAR(Table14[[#This Row],[Date]])</f>
        <v>2026</v>
      </c>
      <c r="Z73" s="6">
        <f>MONTH(Table14[[#This Row],[Date]])</f>
        <v>3</v>
      </c>
      <c r="AA73" s="6" t="str">
        <f>MID(Table14[[#This Row],[Transaction_ID]],4,7)</f>
        <v>1044</v>
      </c>
      <c r="AB73" s="6" t="str">
        <f>_xlfn.CONCAT(Table14[[#This Row],[Region]],"-",Table14[[#This Row],[Category]])</f>
        <v>East-Office</v>
      </c>
    </row>
    <row r="74" spans="1:28">
      <c r="A74" s="10" t="s">
        <v>49</v>
      </c>
      <c r="B74" s="11">
        <v>46031</v>
      </c>
      <c r="C74" s="12" t="s">
        <v>23</v>
      </c>
      <c r="D74" s="12" t="s">
        <v>15</v>
      </c>
      <c r="E74" s="12" t="s">
        <v>50</v>
      </c>
      <c r="F74" s="12" t="s">
        <v>33</v>
      </c>
      <c r="G74" s="12" t="s">
        <v>51</v>
      </c>
      <c r="H74" s="12">
        <v>12</v>
      </c>
      <c r="I74" s="13">
        <v>185</v>
      </c>
      <c r="J74" s="14">
        <v>0.03</v>
      </c>
      <c r="K74" s="12" t="s">
        <v>19</v>
      </c>
      <c r="L74" s="12" t="s">
        <v>20</v>
      </c>
      <c r="M74" s="12" t="s">
        <v>52</v>
      </c>
      <c r="N74" s="6">
        <f>Table14[[#This Row],[Quantity]]*Table14[[#This Row],[Unit_Price_INR]]</f>
        <v>2220</v>
      </c>
      <c r="O74" s="6">
        <f>Table14[[#This Row],[Gross sales]]*Table14[[#This Row],[Discount_Rate]]</f>
        <v>66.599999999999994</v>
      </c>
      <c r="P74" s="6">
        <f>Table14[[#This Row],[Gross sales]]-Table14[[#This Row],[Discount_Amount]]</f>
        <v>2153.4</v>
      </c>
      <c r="Q74" s="6" t="str">
        <f>TEXT(Table14[[#This Row],[Date]],"mmmm")</f>
        <v>January</v>
      </c>
      <c r="R74" s="9" t="str">
        <f>IF(OR(Table14[[#This Row],[Status]]="Pending",Table14[[#This Row],[Status]]="Refunded"),"Review","OK")</f>
        <v>OK</v>
      </c>
      <c r="S74" s="6" t="str">
        <f>IF(Table14[[#This Row],[Net_Sales]]&gt;25000,"High",IF(Table14[[#This Row],[Net_Sales]]&gt;10000,"Medium","Low"))</f>
        <v>Low</v>
      </c>
      <c r="T74" s="6" t="b">
        <f>AND(Table14[[#This Row],[Quantity]]&gt;=5,Table14[[#This Row],[Discount_Rate]]&gt;=10%)</f>
        <v>0</v>
      </c>
      <c r="U74" s="6" t="b">
        <f>OR(Table14[[#This Row],[Payment_Method]]="UPI",Table14[[#This Row],[Payment_Method]]="Cash")</f>
        <v>1</v>
      </c>
      <c r="V74" s="6">
        <f>IFERROR(Table14[[#This Row],[Net_Sales]]/Table14[[#This Row],[Quantity]],"ERROR")</f>
        <v>179.45000000000002</v>
      </c>
      <c r="W74" s="6" t="str">
        <f>PROPER(TRIM(Table14[[#This Row],[Customer_Name]]))</f>
        <v>Fresh Basket</v>
      </c>
      <c r="X74" s="6" t="str">
        <f>PROPER(TRIM(Table14[[#This Row],[Region]]))</f>
        <v>South</v>
      </c>
      <c r="Y74" s="6">
        <f>YEAR(Table14[[#This Row],[Date]])</f>
        <v>2026</v>
      </c>
      <c r="Z74" s="6">
        <f>MONTH(Table14[[#This Row],[Date]])</f>
        <v>1</v>
      </c>
      <c r="AA74" s="6" t="str">
        <f>MID(Table14[[#This Row],[Transaction_ID]],4,7)</f>
        <v>1006</v>
      </c>
      <c r="AB74" s="6" t="str">
        <f>_xlfn.CONCAT(Table14[[#This Row],[Region]],"-",Table14[[#This Row],[Category]])</f>
        <v>South-Grocery</v>
      </c>
    </row>
    <row r="75" spans="1:28">
      <c r="A75" s="4" t="s">
        <v>246</v>
      </c>
      <c r="B75" s="5">
        <v>46160</v>
      </c>
      <c r="C75" s="6" t="s">
        <v>23</v>
      </c>
      <c r="D75" s="6" t="s">
        <v>15</v>
      </c>
      <c r="E75" s="6" t="s">
        <v>247</v>
      </c>
      <c r="F75" s="6" t="s">
        <v>33</v>
      </c>
      <c r="G75" s="6" t="s">
        <v>248</v>
      </c>
      <c r="H75" s="6">
        <v>9</v>
      </c>
      <c r="I75" s="7">
        <v>220</v>
      </c>
      <c r="J75" s="8">
        <v>0</v>
      </c>
      <c r="K75" s="6" t="s">
        <v>35</v>
      </c>
      <c r="L75" s="6" t="s">
        <v>20</v>
      </c>
      <c r="M75" s="6" t="s">
        <v>52</v>
      </c>
      <c r="N75" s="6">
        <f>Table14[[#This Row],[Quantity]]*Table14[[#This Row],[Unit_Price_INR]]</f>
        <v>1980</v>
      </c>
      <c r="O75" s="6">
        <f>Table14[[#This Row],[Gross sales]]*Table14[[#This Row],[Discount_Rate]]</f>
        <v>0</v>
      </c>
      <c r="P75" s="6">
        <f>Table14[[#This Row],[Gross sales]]-Table14[[#This Row],[Discount_Amount]]</f>
        <v>1980</v>
      </c>
      <c r="Q75" s="6" t="str">
        <f>TEXT(Table14[[#This Row],[Date]],"mmmm")</f>
        <v>May</v>
      </c>
      <c r="R75" s="9" t="str">
        <f>IF(OR(Table14[[#This Row],[Status]]="Pending",Table14[[#This Row],[Status]]="Refunded"),"Review","OK")</f>
        <v>OK</v>
      </c>
      <c r="S75" s="6" t="str">
        <f>IF(Table14[[#This Row],[Net_Sales]]&gt;25000,"High",IF(Table14[[#This Row],[Net_Sales]]&gt;10000,"Medium","Low"))</f>
        <v>Low</v>
      </c>
      <c r="T75" s="6" t="b">
        <f>AND(Table14[[#This Row],[Quantity]]&gt;=5,Table14[[#This Row],[Discount_Rate]]&gt;=10%)</f>
        <v>0</v>
      </c>
      <c r="U75" s="6" t="b">
        <f>OR(Table14[[#This Row],[Payment_Method]]="UPI",Table14[[#This Row],[Payment_Method]]="Cash")</f>
        <v>1</v>
      </c>
      <c r="V75" s="6">
        <f>IFERROR(Table14[[#This Row],[Net_Sales]]/Table14[[#This Row],[Quantity]],"ERROR")</f>
        <v>220</v>
      </c>
      <c r="W75" s="6" t="str">
        <f>PROPER(TRIM(Table14[[#This Row],[Customer_Name]]))</f>
        <v>Rosewood Mart</v>
      </c>
      <c r="X75" s="6" t="str">
        <f>PROPER(TRIM(Table14[[#This Row],[Region]]))</f>
        <v>South</v>
      </c>
      <c r="Y75" s="6">
        <f>YEAR(Table14[[#This Row],[Date]])</f>
        <v>2026</v>
      </c>
      <c r="Z75" s="6">
        <f>MONTH(Table14[[#This Row],[Date]])</f>
        <v>5</v>
      </c>
      <c r="AA75" s="6" t="str">
        <f>MID(Table14[[#This Row],[Transaction_ID]],4,7)</f>
        <v>1071</v>
      </c>
      <c r="AB75" s="6" t="str">
        <f>_xlfn.CONCAT(Table14[[#This Row],[Region]],"-",Table14[[#This Row],[Category]])</f>
        <v>South-Grocery</v>
      </c>
    </row>
    <row r="76" spans="1:28">
      <c r="A76" s="4" t="s">
        <v>234</v>
      </c>
      <c r="B76" s="5">
        <v>46152</v>
      </c>
      <c r="C76" s="6" t="s">
        <v>23</v>
      </c>
      <c r="D76" s="6" t="s">
        <v>24</v>
      </c>
      <c r="E76" s="6" t="s">
        <v>235</v>
      </c>
      <c r="F76" s="6" t="s">
        <v>47</v>
      </c>
      <c r="G76" s="6" t="s">
        <v>236</v>
      </c>
      <c r="H76" s="6">
        <v>3</v>
      </c>
      <c r="I76" s="7">
        <v>700</v>
      </c>
      <c r="J76" s="8">
        <v>0.1</v>
      </c>
      <c r="K76" s="6" t="s">
        <v>28</v>
      </c>
      <c r="L76" s="6" t="s">
        <v>20</v>
      </c>
      <c r="M76" s="6" t="s">
        <v>52</v>
      </c>
      <c r="N76" s="6">
        <f>Table14[[#This Row],[Quantity]]*Table14[[#This Row],[Unit_Price_INR]]</f>
        <v>2100</v>
      </c>
      <c r="O76" s="6">
        <f>Table14[[#This Row],[Gross sales]]*Table14[[#This Row],[Discount_Rate]]</f>
        <v>210</v>
      </c>
      <c r="P76" s="6">
        <f>Table14[[#This Row],[Gross sales]]-Table14[[#This Row],[Discount_Amount]]</f>
        <v>1890</v>
      </c>
      <c r="Q76" s="6" t="str">
        <f>TEXT(Table14[[#This Row],[Date]],"mmmm")</f>
        <v>May</v>
      </c>
      <c r="R76" s="9" t="str">
        <f>IF(OR(Table14[[#This Row],[Status]]="Pending",Table14[[#This Row],[Status]]="Refunded"),"Review","OK")</f>
        <v>OK</v>
      </c>
      <c r="S76" s="6" t="str">
        <f>IF(Table14[[#This Row],[Net_Sales]]&gt;25000,"High",IF(Table14[[#This Row],[Net_Sales]]&gt;10000,"Medium","Low"))</f>
        <v>Low</v>
      </c>
      <c r="T76" s="6" t="b">
        <f>AND(Table14[[#This Row],[Quantity]]&gt;=5,Table14[[#This Row],[Discount_Rate]]&gt;=10%)</f>
        <v>0</v>
      </c>
      <c r="U76" s="6" t="b">
        <f>OR(Table14[[#This Row],[Payment_Method]]="UPI",Table14[[#This Row],[Payment_Method]]="Cash")</f>
        <v>0</v>
      </c>
      <c r="V76" s="6">
        <f>IFERROR(Table14[[#This Row],[Net_Sales]]/Table14[[#This Row],[Quantity]],"ERROR")</f>
        <v>630</v>
      </c>
      <c r="W76" s="6" t="str">
        <f>PROPER(TRIM(Table14[[#This Row],[Customer_Name]]))</f>
        <v>Nectar Store</v>
      </c>
      <c r="X76" s="6" t="str">
        <f>PROPER(TRIM(Table14[[#This Row],[Region]]))</f>
        <v>South</v>
      </c>
      <c r="Y76" s="6">
        <f>YEAR(Table14[[#This Row],[Date]])</f>
        <v>2026</v>
      </c>
      <c r="Z76" s="6">
        <f>MONTH(Table14[[#This Row],[Date]])</f>
        <v>5</v>
      </c>
      <c r="AA76" s="6" t="str">
        <f>MID(Table14[[#This Row],[Transaction_ID]],4,7)</f>
        <v>1067</v>
      </c>
      <c r="AB76" s="6" t="str">
        <f>_xlfn.CONCAT(Table14[[#This Row],[Region]],"-",Table14[[#This Row],[Category]])</f>
        <v>South-Fashion</v>
      </c>
    </row>
    <row r="77" spans="1:28">
      <c r="A77" s="4" t="s">
        <v>228</v>
      </c>
      <c r="B77" s="5">
        <v>46149</v>
      </c>
      <c r="C77" s="6" t="s">
        <v>38</v>
      </c>
      <c r="D77" s="6" t="s">
        <v>24</v>
      </c>
      <c r="E77" s="6" t="s">
        <v>229</v>
      </c>
      <c r="F77" s="6" t="s">
        <v>17</v>
      </c>
      <c r="G77" s="6" t="s">
        <v>230</v>
      </c>
      <c r="H77" s="6">
        <v>0</v>
      </c>
      <c r="I77" s="7">
        <v>450</v>
      </c>
      <c r="J77" s="8">
        <v>0</v>
      </c>
      <c r="K77" s="6" t="s">
        <v>35</v>
      </c>
      <c r="L77" s="6" t="s">
        <v>118</v>
      </c>
      <c r="M77" s="6" t="s">
        <v>44</v>
      </c>
      <c r="N77" s="6">
        <f>Table14[[#This Row],[Quantity]]*Table14[[#This Row],[Unit_Price_INR]]</f>
        <v>0</v>
      </c>
      <c r="O77" s="6">
        <f>Table14[[#This Row],[Gross sales]]*Table14[[#This Row],[Discount_Rate]]</f>
        <v>0</v>
      </c>
      <c r="P77" s="6">
        <f>Table14[[#This Row],[Gross sales]]-Table14[[#This Row],[Discount_Amount]]</f>
        <v>0</v>
      </c>
      <c r="Q77" s="6" t="str">
        <f>TEXT(Table14[[#This Row],[Date]],"mmmm")</f>
        <v>May</v>
      </c>
      <c r="R77" s="9" t="str">
        <f>IF(OR(Table14[[#This Row],[Status]]="Pending",Table14[[#This Row],[Status]]="Refunded"),"Review","OK")</f>
        <v>OK</v>
      </c>
      <c r="S77" s="6" t="str">
        <f>IF(Table14[[#This Row],[Net_Sales]]&gt;25000,"High",IF(Table14[[#This Row],[Net_Sales]]&gt;10000,"Medium","Low"))</f>
        <v>Low</v>
      </c>
      <c r="T77" s="6" t="b">
        <f>AND(Table14[[#This Row],[Quantity]]&gt;=5,Table14[[#This Row],[Discount_Rate]]&gt;=10%)</f>
        <v>0</v>
      </c>
      <c r="U77" s="6" t="b">
        <f>OR(Table14[[#This Row],[Payment_Method]]="UPI",Table14[[#This Row],[Payment_Method]]="Cash")</f>
        <v>1</v>
      </c>
      <c r="V77" s="6" t="str">
        <f>IFERROR(Table14[[#This Row],[Net_Sales]]/Table14[[#This Row],[Quantity]],"ERROR")</f>
        <v>ERROR</v>
      </c>
      <c r="W77" s="6" t="str">
        <f>PROPER(TRIM(Table14[[#This Row],[Customer_Name]]))</f>
        <v>Lumen Shop</v>
      </c>
      <c r="X77" s="6" t="str">
        <f>PROPER(TRIM(Table14[[#This Row],[Region]]))</f>
        <v>East</v>
      </c>
      <c r="Y77" s="6">
        <f>YEAR(Table14[[#This Row],[Date]])</f>
        <v>2026</v>
      </c>
      <c r="Z77" s="6">
        <f>MONTH(Table14[[#This Row],[Date]])</f>
        <v>5</v>
      </c>
      <c r="AA77" s="6" t="str">
        <f>MID(Table14[[#This Row],[Transaction_ID]],4,7)</f>
        <v>1065</v>
      </c>
      <c r="AB77" s="6" t="str">
        <f>_xlfn.CONCAT(Table14[[#This Row],[Region]],"-",Table14[[#This Row],[Category]])</f>
        <v>East-Electronics</v>
      </c>
    </row>
  </sheetData>
  <conditionalFormatting sqref="A2:A77">
    <cfRule type="duplicateValues" dxfId="1" priority="2"/>
  </conditionalFormatting>
  <conditionalFormatting sqref="P2:P77">
    <cfRule type="cellIs" dxfId="0" priority="1" operator="greaterThan">
      <formula>25000</formula>
    </cfRule>
  </conditionalFormatting>
  <dataValidations count="1">
    <dataValidation type="list" allowBlank="1" showInputMessage="1" showErrorMessage="1" error="Error" sqref="L1:L77 L79:L1048576" xr:uid="{FDBF2697-E817-4242-A044-B9D3B7CADF86}">
      <formula1>"Completed,Pending,Refunded,Cancelled"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0CAD-D58C-4B51-A65A-EC5F94377169}">
  <dimension ref="A1:C23"/>
  <sheetViews>
    <sheetView workbookViewId="0">
      <selection activeCell="I28" sqref="I28"/>
    </sheetView>
  </sheetViews>
  <sheetFormatPr defaultRowHeight="15"/>
  <cols>
    <col min="1" max="1" width="18.140625" customWidth="1"/>
    <col min="2" max="2" width="10" customWidth="1"/>
    <col min="12" max="12" width="13.85546875" customWidth="1"/>
    <col min="13" max="13" width="14.5703125" customWidth="1"/>
  </cols>
  <sheetData>
    <row r="1" spans="1:3">
      <c r="A1" t="s">
        <v>283</v>
      </c>
      <c r="B1">
        <f>AVERAGE(Transactions!I2:I77)</f>
        <v>6655.7894736842109</v>
      </c>
    </row>
    <row r="2" spans="1:3">
      <c r="A2" t="s">
        <v>284</v>
      </c>
      <c r="B2">
        <f>SUM(Transactions!H2:H77)</f>
        <v>592</v>
      </c>
    </row>
    <row r="3" spans="1:3">
      <c r="A3" t="s">
        <v>285</v>
      </c>
      <c r="B3">
        <f>SUM(Transactions!P2:P77)</f>
        <v>1594263.8</v>
      </c>
    </row>
    <row r="5" spans="1:3">
      <c r="A5" t="s">
        <v>291</v>
      </c>
    </row>
    <row r="6" spans="1:3">
      <c r="A6" t="s">
        <v>267</v>
      </c>
      <c r="B6">
        <f>SUMIF(Transactions!C2:C77,"North",Transactions!P2:P77)</f>
        <v>499870.9</v>
      </c>
    </row>
    <row r="7" spans="1:3">
      <c r="A7" t="s">
        <v>268</v>
      </c>
      <c r="B7">
        <f>SUMIFS(Transactions!P2:P77,Transactions!C2:C77,"South",Transactions!L2:L77,"Completed")</f>
        <v>128509.4</v>
      </c>
    </row>
    <row r="8" spans="1:3">
      <c r="A8" t="s">
        <v>269</v>
      </c>
      <c r="B8">
        <f>COUNTIF(Transactions!L2:L77,"Pending")</f>
        <v>5</v>
      </c>
    </row>
    <row r="9" spans="1:3">
      <c r="A9" t="s">
        <v>270</v>
      </c>
      <c r="B9">
        <f>COUNTIFS(Transactions!D2:D77,"Online",Transactions!F2:F77,"Electronics")</f>
        <v>7</v>
      </c>
    </row>
    <row r="10" spans="1:3">
      <c r="A10" t="s">
        <v>271</v>
      </c>
      <c r="B10">
        <f>AVERAGEIF(Transactions!F2:F77,"Home",Transactions!I2:I77)</f>
        <v>9755.625</v>
      </c>
    </row>
    <row r="13" spans="1:3">
      <c r="A13" t="s">
        <v>292</v>
      </c>
    </row>
    <row r="14" spans="1:3">
      <c r="A14" t="s">
        <v>272</v>
      </c>
      <c r="B14" t="s">
        <v>21</v>
      </c>
      <c r="C14" t="str">
        <f>VLOOKUP(B14,Lookup_table!A2:B6,2,FALSE)</f>
        <v>Lisa</v>
      </c>
    </row>
    <row r="15" spans="1:3">
      <c r="A15" t="s">
        <v>273</v>
      </c>
      <c r="B15" t="s">
        <v>13</v>
      </c>
      <c r="C15">
        <f>INDEX(Transactions!I2:I77,MATCH(Answers!B15,Transactions!A2:A77,0))</f>
        <v>52000</v>
      </c>
    </row>
    <row r="16" spans="1:3">
      <c r="A16" t="s">
        <v>274</v>
      </c>
      <c r="B16">
        <f>MATCH("Smartphone",Transactions!G2:G77,0)</f>
        <v>15</v>
      </c>
    </row>
    <row r="17" spans="1:3">
      <c r="A17" t="s">
        <v>275</v>
      </c>
      <c r="B17" t="s">
        <v>300</v>
      </c>
      <c r="C17" t="str">
        <f>_xlfn.XLOOKUP(B17,Transactions!G2:G77,Transactions!F2:F77)</f>
        <v>Grocery</v>
      </c>
    </row>
    <row r="21" spans="1:3">
      <c r="A21" t="s">
        <v>301</v>
      </c>
    </row>
    <row r="22" spans="1:3">
      <c r="A22" t="s">
        <v>306</v>
      </c>
    </row>
    <row r="23" spans="1:3">
      <c r="A23" t="s">
        <v>309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1063-FE3D-4068-B6CB-64E300269E5B}">
  <dimension ref="A1"/>
  <sheetViews>
    <sheetView showGridLines="0" showRowColHeaders="0" tabSelected="1" topLeftCell="A6" workbookViewId="0"/>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42D8-3F65-41EA-9400-D9B690A63181}">
  <dimension ref="A1:B6"/>
  <sheetViews>
    <sheetView workbookViewId="0">
      <selection activeCell="E10" sqref="E10"/>
    </sheetView>
  </sheetViews>
  <sheetFormatPr defaultRowHeight="15"/>
  <cols>
    <col min="1" max="1" width="10.42578125" customWidth="1"/>
    <col min="2" max="2" width="22.7109375" customWidth="1"/>
  </cols>
  <sheetData>
    <row r="1" spans="1:2">
      <c r="A1" t="s">
        <v>293</v>
      </c>
      <c r="B1" t="s">
        <v>294</v>
      </c>
    </row>
    <row r="2" spans="1:2">
      <c r="A2" t="s">
        <v>21</v>
      </c>
      <c r="B2" t="s">
        <v>295</v>
      </c>
    </row>
    <row r="3" spans="1:2">
      <c r="A3" t="s">
        <v>36</v>
      </c>
      <c r="B3" t="s">
        <v>296</v>
      </c>
    </row>
    <row r="4" spans="1:2">
      <c r="A4" t="s">
        <v>29</v>
      </c>
      <c r="B4" t="s">
        <v>297</v>
      </c>
    </row>
    <row r="5" spans="1:2">
      <c r="A5" t="s">
        <v>44</v>
      </c>
      <c r="B5" t="s">
        <v>298</v>
      </c>
    </row>
    <row r="6" spans="1:2">
      <c r="A6" t="s">
        <v>52</v>
      </c>
      <c r="B6" t="s">
        <v>299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A9D1256-30DC-4617-A855-CDBEBE8EFE82}">
  <ds:schemaRefs/>
</ds:datastoreItem>
</file>

<file path=customXml/itemProps2.xml><?xml version="1.0" encoding="utf-8"?>
<ds:datastoreItem xmlns:ds="http://schemas.openxmlformats.org/officeDocument/2006/customXml" ds:itemID="{467C7F5F-BA59-4D94-B159-3464DEB192CD}">
  <ds:schemaRefs/>
</ds:datastoreItem>
</file>

<file path=customXml/itemProps3.xml><?xml version="1.0" encoding="utf-8"?>
<ds:datastoreItem xmlns:ds="http://schemas.openxmlformats.org/officeDocument/2006/customXml" ds:itemID="{759AD5F8-2DD6-4FDC-AB27-FCDF1E333C09}">
  <ds:schemaRefs/>
</ds:datastoreItem>
</file>

<file path=customXml/itemProps4.xml><?xml version="1.0" encoding="utf-8"?>
<ds:datastoreItem xmlns:ds="http://schemas.openxmlformats.org/officeDocument/2006/customXml" ds:itemID="{8876258D-6529-487C-B491-9BA9D20AE8AA}">
  <ds:schemaRefs/>
</ds:datastoreItem>
</file>

<file path=customXml/itemProps5.xml><?xml version="1.0" encoding="utf-8"?>
<ds:datastoreItem xmlns:ds="http://schemas.openxmlformats.org/officeDocument/2006/customXml" ds:itemID="{249AFE76-E4B4-43D5-914B-FCB7F0867F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vt:lpstr>
      <vt:lpstr>T34</vt:lpstr>
      <vt:lpstr>Transactions</vt:lpstr>
      <vt:lpstr>filter</vt:lpstr>
      <vt:lpstr>sort</vt:lpstr>
      <vt:lpstr>Answers</vt:lpstr>
      <vt:lpstr>Dashboard</vt:lpstr>
      <vt:lpstr>Lookup_table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Vandana T T K</cp:lastModifiedBy>
  <dcterms:created xsi:type="dcterms:W3CDTF">2026-10-15T10:56:57Z</dcterms:created>
  <dcterms:modified xsi:type="dcterms:W3CDTF">2026-10-19T04:22:55Z</dcterms:modified>
</cp:coreProperties>
</file>